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is" sheetId="1" state="visible" r:id="rId3"/>
    <sheet name="Prestadores" sheetId="2" state="visible" r:id="rId4"/>
    <sheet name="Resumo" sheetId="3" state="visible" r:id="rId5"/>
  </sheets>
  <definedNames>
    <definedName function="false" hidden="true" localSheetId="0" name="_xlnm._FilterDatabase" vbProcedure="false">Materiais!$A$5:$J$78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<sst xmlns="http://schemas.openxmlformats.org/spreadsheetml/2006/main" count="416" uniqueCount="174">
  <si>
    <t xml:space="preserve">LISTA DE PREÇOS — INSUMOS DO MOTOR DE ORÇAMENTO</t>
  </si>
  <si>
    <t xml:space="preserve">Último preço de compra por insumo, extraído de BASE DE DADOS GERAL.xlsm (coluna U, data da coluna M). Base: 9.764 lançamentos, out/2022 a ago/2026.</t>
  </si>
  <si>
    <t xml:space="preserve">Preencha a coluna "Preço revisado" (azul) para sobrescrever. Vazia = usa o último preço. Ordenado da pior confiança para a melhor: as primeiras linhas são sua fila de cotação.</t>
  </si>
  <si>
    <t xml:space="preserve">Item</t>
  </si>
  <si>
    <t xml:space="preserve">Unidade</t>
  </si>
  <si>
    <t xml:space="preserve">Grupo</t>
  </si>
  <si>
    <t xml:space="preserve">Último preço</t>
  </si>
  <si>
    <t xml:space="preserve">Data</t>
  </si>
  <si>
    <t xml:space="preserve">Nº compras</t>
  </si>
  <si>
    <t xml:space="preserve">Variação 5 últimas</t>
  </si>
  <si>
    <t xml:space="preserve">Último fornecedor</t>
  </si>
  <si>
    <t xml:space="preserve">Confiança</t>
  </si>
  <si>
    <t xml:space="preserve">Preço revisado</t>
  </si>
  <si>
    <t xml:space="preserve">Madeira Caixaria - Madeirite Plastif. Preto 2,10x1,10mts 18mm</t>
  </si>
  <si>
    <t xml:space="preserve">Sem preço</t>
  </si>
  <si>
    <t xml:space="preserve">Manta dupla face</t>
  </si>
  <si>
    <t xml:space="preserve">m2</t>
  </si>
  <si>
    <t xml:space="preserve">Revestimento</t>
  </si>
  <si>
    <t xml:space="preserve">Telhado - Pingadeira</t>
  </si>
  <si>
    <t xml:space="preserve">Mts</t>
  </si>
  <si>
    <t xml:space="preserve">Telhado - Rufo</t>
  </si>
  <si>
    <t xml:space="preserve">Tintas - Tintas 18L</t>
  </si>
  <si>
    <t xml:space="preserve">Unidades</t>
  </si>
  <si>
    <t xml:space="preserve">Água</t>
  </si>
  <si>
    <t xml:space="preserve">m3</t>
  </si>
  <si>
    <t xml:space="preserve">Aço - Barras de CA50 16mm 12mts</t>
  </si>
  <si>
    <t xml:space="preserve">Aço</t>
  </si>
  <si>
    <t xml:space="preserve">ArcelorMittal</t>
  </si>
  <si>
    <t xml:space="preserve">Obsoleta</t>
  </si>
  <si>
    <t xml:space="preserve">Aço - Barras de CA50 5.0mm 12mts</t>
  </si>
  <si>
    <t xml:space="preserve">Aço - Barras de CA50 6.3mm 12mts</t>
  </si>
  <si>
    <t xml:space="preserve">Aço - Barras de CA60 4.2mm 12mts</t>
  </si>
  <si>
    <t xml:space="preserve">Ourifer</t>
  </si>
  <si>
    <t xml:space="preserve">Elétrica - Poste Padrão - Trifásica C3</t>
  </si>
  <si>
    <t xml:space="preserve">Elétrica e Iluminação</t>
  </si>
  <si>
    <t xml:space="preserve">Eletroservice</t>
  </si>
  <si>
    <t xml:space="preserve">Ferramentas - Cavadeira</t>
  </si>
  <si>
    <t xml:space="preserve">Ferramentas</t>
  </si>
  <si>
    <t xml:space="preserve">Ferramentas - Mangueira de Nível</t>
  </si>
  <si>
    <t xml:space="preserve">Ferramentas - Torquesa Ferragem</t>
  </si>
  <si>
    <t xml:space="preserve">Impermeabilizantes - Vedatop Flexível 18KG</t>
  </si>
  <si>
    <t xml:space="preserve">Impermeabilizantes</t>
  </si>
  <si>
    <t xml:space="preserve">Vedacit</t>
  </si>
  <si>
    <t xml:space="preserve">Madeira Caixaria - Tábuas de 25cm x 3mts</t>
  </si>
  <si>
    <t xml:space="preserve">Madeira caixarias</t>
  </si>
  <si>
    <t xml:space="preserve">Adair Baggio</t>
  </si>
  <si>
    <t xml:space="preserve">Telhado - Estrutura - Eucalipto S/ Tratar - Caibros 5x5</t>
  </si>
  <si>
    <t xml:space="preserve">Madeira telhado</t>
  </si>
  <si>
    <t xml:space="preserve">Ivo Madeiras</t>
  </si>
  <si>
    <t xml:space="preserve">Telhado - Estrutura - Eucalipto S/ Tratar - Ripas 2,5x5</t>
  </si>
  <si>
    <t xml:space="preserve">Telhado - Estrutura - Eucalipto S/ Tratar - Vigas 5x15</t>
  </si>
  <si>
    <t xml:space="preserve">Telhado - Estrutura - Eucalipto S/ Tratar - Vigas 5x20</t>
  </si>
  <si>
    <t xml:space="preserve">Aço - Barras de CA50 12.5mm 12mts</t>
  </si>
  <si>
    <t xml:space="preserve">Costa Ferro</t>
  </si>
  <si>
    <t xml:space="preserve">Baixa</t>
  </si>
  <si>
    <t xml:space="preserve">Aço - Barras de CA50 4.2mm 12mts</t>
  </si>
  <si>
    <t xml:space="preserve">Aço - Malha Pop EQ061 3.4mm 15x15</t>
  </si>
  <si>
    <t xml:space="preserve">Aço - Malha pop EQ092 4.2mm 15x15</t>
  </si>
  <si>
    <t xml:space="preserve">Aço - Pregos 20x42</t>
  </si>
  <si>
    <t xml:space="preserve">Cerâmicas - Tijolo - Bloco 8 Furos</t>
  </si>
  <si>
    <t xml:space="preserve">Tijolos e Canaletas</t>
  </si>
  <si>
    <t xml:space="preserve">Concreto - Bomba</t>
  </si>
  <si>
    <t xml:space="preserve">Concreto - FCK20</t>
  </si>
  <si>
    <t xml:space="preserve">Disco Ferro</t>
  </si>
  <si>
    <t xml:space="preserve">Ferramentas - Carrinho Pedreiro</t>
  </si>
  <si>
    <t xml:space="preserve">Ferramentas - Linha de pedreiro</t>
  </si>
  <si>
    <t xml:space="preserve">Impermeabilizantes - Tela Poliester 50mts</t>
  </si>
  <si>
    <t xml:space="preserve">Impermeabilizantes - Vedalit 18L</t>
  </si>
  <si>
    <t xml:space="preserve">Locação Ferramentas - Escoras</t>
  </si>
  <si>
    <t xml:space="preserve">Locação Ferramentas</t>
  </si>
  <si>
    <t xml:space="preserve">Fermac</t>
  </si>
  <si>
    <t xml:space="preserve">Madeira Caixaria - Sarrafos de 05cm x 3mts</t>
  </si>
  <si>
    <t xml:space="preserve">Madereira Paulista</t>
  </si>
  <si>
    <t xml:space="preserve">Maquinário - Perfuração</t>
  </si>
  <si>
    <t xml:space="preserve">Maquinário</t>
  </si>
  <si>
    <t xml:space="preserve">MD Terraplanagem</t>
  </si>
  <si>
    <t xml:space="preserve">Argamassa AC 3 GF - 20kg</t>
  </si>
  <si>
    <t xml:space="preserve">Argamassas</t>
  </si>
  <si>
    <t xml:space="preserve">Lopes &amp; Giminez</t>
  </si>
  <si>
    <t xml:space="preserve">Média</t>
  </si>
  <si>
    <t xml:space="preserve">Aço - Treliça H8 Barras 12mts</t>
  </si>
  <si>
    <t xml:space="preserve">Cerâmicas - Tijolo - Bloco  6 Furos</t>
  </si>
  <si>
    <t xml:space="preserve">Cerâmicas - Tijolo - Tijolinho Maciço</t>
  </si>
  <si>
    <t xml:space="preserve">Disco Porcelanato</t>
  </si>
  <si>
    <t xml:space="preserve">Disco Serra Circular</t>
  </si>
  <si>
    <t xml:space="preserve">Ferramentas - Engate Rápido Mangueira Jardim</t>
  </si>
  <si>
    <t xml:space="preserve">Ferramentas - Lapis</t>
  </si>
  <si>
    <t xml:space="preserve">Ferramentas - Luva Mucambo</t>
  </si>
  <si>
    <t xml:space="preserve">Ferramentas - Mangueira de Jardim</t>
  </si>
  <si>
    <t xml:space="preserve">Impermeabilizantes - Bianco 18KG</t>
  </si>
  <si>
    <t xml:space="preserve">Impermeabilizantes - Vedatop 18KG</t>
  </si>
  <si>
    <t xml:space="preserve">Ourimadeiras</t>
  </si>
  <si>
    <t xml:space="preserve">Madeira Caixaria - Tábuas de 20cm x 3mts</t>
  </si>
  <si>
    <t xml:space="preserve">Madeira Caixaria - Tábuas de 30cm x 3mts</t>
  </si>
  <si>
    <t xml:space="preserve">Metal - Hidráulica - Torneira Jardim</t>
  </si>
  <si>
    <t xml:space="preserve">Metais</t>
  </si>
  <si>
    <t xml:space="preserve">Rejunte - 5kg</t>
  </si>
  <si>
    <t xml:space="preserve">Pisos &amp; Revestimentos</t>
  </si>
  <si>
    <t xml:space="preserve">Telhado - Calha</t>
  </si>
  <si>
    <t xml:space="preserve">Telhas</t>
  </si>
  <si>
    <t xml:space="preserve">Nardo Calhas</t>
  </si>
  <si>
    <t xml:space="preserve">Tintas - Fundo Preparador 18L</t>
  </si>
  <si>
    <t xml:space="preserve">Tintas</t>
  </si>
  <si>
    <t xml:space="preserve">Copical</t>
  </si>
  <si>
    <t xml:space="preserve">Tintas - Massa Corrida 25KG</t>
  </si>
  <si>
    <t xml:space="preserve">Tintas - Selador 18L</t>
  </si>
  <si>
    <t xml:space="preserve">Areia Fina</t>
  </si>
  <si>
    <t xml:space="preserve">Areia e Pedra</t>
  </si>
  <si>
    <t xml:space="preserve">Rei do Cimento Jacarezinho</t>
  </si>
  <si>
    <t xml:space="preserve">Alta</t>
  </si>
  <si>
    <t xml:space="preserve">Areia Grossa</t>
  </si>
  <si>
    <t xml:space="preserve">Areia fina</t>
  </si>
  <si>
    <t xml:space="preserve">Aço - Arame Recozido</t>
  </si>
  <si>
    <t xml:space="preserve">Kg</t>
  </si>
  <si>
    <t xml:space="preserve">Aço - Barras de CA50 10.0mm 12mts</t>
  </si>
  <si>
    <t xml:space="preserve">Aço - Barras de CA50 8.0mm 12mts</t>
  </si>
  <si>
    <t xml:space="preserve">Aço - Barras de CA60 5.0mm 12mts</t>
  </si>
  <si>
    <t xml:space="preserve">Aço - Pregos 17x21</t>
  </si>
  <si>
    <t xml:space="preserve">Avilux Materiais Elétricos</t>
  </si>
  <si>
    <t xml:space="preserve">Aço - Pregos 18x27</t>
  </si>
  <si>
    <t xml:space="preserve">Ferramentas - Furadeira Dewalt 1/2 DWD502-BR 710W</t>
  </si>
  <si>
    <t xml:space="preserve">Ferramentas - Pá de bico com cabo</t>
  </si>
  <si>
    <t xml:space="preserve">Ferramentas - Serra Circular Dewalt DWE560-B2</t>
  </si>
  <si>
    <t xml:space="preserve">Locação Ferramentas -  Compactador</t>
  </si>
  <si>
    <t xml:space="preserve">Varoto Locação de Equipamentos</t>
  </si>
  <si>
    <t xml:space="preserve">Madeira Caixaria - Tábuas de 10cm x 3mts</t>
  </si>
  <si>
    <t xml:space="preserve">Pontal Madeiras</t>
  </si>
  <si>
    <t xml:space="preserve">Pedra</t>
  </si>
  <si>
    <t xml:space="preserve">Sacos de cimento 50kg</t>
  </si>
  <si>
    <t xml:space="preserve">Cimento</t>
  </si>
  <si>
    <t xml:space="preserve">EXEMPLO — não editar esta linha</t>
  </si>
  <si>
    <t xml:space="preserve">PRESTADORES DE SERVIÇO — TAXA DO MOTOR vs COTAÇÃO ATUAL</t>
  </si>
  <si>
    <t xml:space="preserve">Taxa do VBA vem de PRESTADORES.frm. Cotação vem das 152 linhas marcadas "COTAÇÃO" na base (data 08/03/2030 é marcador, não data real).</t>
  </si>
  <si>
    <t xml:space="preserve">Preencha "Taxa adotada" (azul) com o valor que o motor deve usar. Vazia = mantém a taxa do VBA.</t>
  </si>
  <si>
    <t xml:space="preserve">Serviço</t>
  </si>
  <si>
    <t xml:space="preserve">Base de cálculo</t>
  </si>
  <si>
    <t xml:space="preserve">Taxa VBA</t>
  </si>
  <si>
    <t xml:space="preserve">Cotação na base</t>
  </si>
  <si>
    <t xml:space="preserve">Diferença</t>
  </si>
  <si>
    <t xml:space="preserve">Taxa adotada</t>
  </si>
  <si>
    <t xml:space="preserve">Carpinteiro</t>
  </si>
  <si>
    <t xml:space="preserve">Eletricista</t>
  </si>
  <si>
    <t xml:space="preserve">m² construído</t>
  </si>
  <si>
    <t xml:space="preserve">Encanador</t>
  </si>
  <si>
    <t xml:space="preserve">Gestão Obra</t>
  </si>
  <si>
    <t xml:space="preserve">m² construído — taxa regressiva</t>
  </si>
  <si>
    <t xml:space="preserve">Impermeabilizador</t>
  </si>
  <si>
    <t xml:space="preserve">Instalador AR</t>
  </si>
  <si>
    <t xml:space="preserve">Instalador Aquecedores</t>
  </si>
  <si>
    <t xml:space="preserve">fixo</t>
  </si>
  <si>
    <t xml:space="preserve">Instalador Equip. Piscina</t>
  </si>
  <si>
    <t xml:space="preserve">Marceneiro Portas Internas</t>
  </si>
  <si>
    <t xml:space="preserve">Pedreiros Casa</t>
  </si>
  <si>
    <t xml:space="preserve">Pedreiros Muro Arrimo</t>
  </si>
  <si>
    <t xml:space="preserve">m² muro</t>
  </si>
  <si>
    <t xml:space="preserve">Pedreiros Muro Divisa</t>
  </si>
  <si>
    <t xml:space="preserve">Pedreiros Pavim. Externa</t>
  </si>
  <si>
    <t xml:space="preserve">m² pavimentação</t>
  </si>
  <si>
    <t xml:space="preserve">Pedreiros Piscina</t>
  </si>
  <si>
    <t xml:space="preserve">m² piscina</t>
  </si>
  <si>
    <t xml:space="preserve">Pintor</t>
  </si>
  <si>
    <t xml:space="preserve">Serralheiro</t>
  </si>
  <si>
    <t xml:space="preserve">Terraplanagem</t>
  </si>
  <si>
    <t xml:space="preserve">Gestão de obra é regressiva por área — ver taxaGestaoObra() na SPEC-ORCAMENTO-OBRA.md §5.</t>
  </si>
  <si>
    <t xml:space="preserve">RESUMO DA COBERTURA DE PREÇOS</t>
  </si>
  <si>
    <t xml:space="preserve">Critério: Alta = última compra &lt; 6 meses e ao menos 3 compras · Média = &lt; 12 meses · Baixa = &lt; 24 meses · Obsoleta = 24 meses ou mais.</t>
  </si>
  <si>
    <t xml:space="preserve">Insumos</t>
  </si>
  <si>
    <t xml:space="preserve">% do total</t>
  </si>
  <si>
    <t xml:space="preserve">TOTAL</t>
  </si>
  <si>
    <t xml:space="preserve">Insumos utilizáveis hoje (Alta + Média)</t>
  </si>
  <si>
    <t xml:space="preserve">Fila de cotação (Obsoleta + Sem preço)</t>
  </si>
  <si>
    <t xml:space="preserve">Fonte: BASE DE DADOS GERAL.xlsm, aba Base_Dados_Geral — 9.764 lançamentos, 966 itens distintos, out/2022 a ago/2026.</t>
  </si>
  <si>
    <t xml:space="preserve">Linhas com cliente = "COTAÇÃO" (152) foram excluídas do cálculo de última compra e usadas apenas na aba Prestadores.</t>
  </si>
  <si>
    <t xml:space="preserve">Data de referência do cálculo de frescor: 05/09/2026.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</si>
</sst>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dd/mm/yyyy"/>
    <numFmt numFmtId="167" formatCode="0%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62421"/>
        <bgColor rgb="FF333300"/>
      </patternFill>
    </fill>
    <fill>
      <patternFill patternType="solid">
        <fgColor rgb="FFE5E7E9"/>
        <bgColor rgb="FFD9D9D9"/>
      </patternFill>
    </fill>
    <fill>
      <patternFill patternType="solid">
        <fgColor rgb="FFFFFFCC"/>
        <bgColor rgb="FFFCF3CF"/>
      </patternFill>
    </fill>
    <fill>
      <patternFill patternType="solid">
        <fgColor rgb="FFF5B7B1"/>
        <bgColor rgb="FFFF99CC"/>
      </patternFill>
    </fill>
    <fill>
      <patternFill patternType="solid">
        <fgColor rgb="FFFAE5D3"/>
        <bgColor rgb="FFFCF3CF"/>
      </patternFill>
    </fill>
    <fill>
      <patternFill patternType="solid">
        <fgColor rgb="FFFCF3CF"/>
        <bgColor rgb="FFFFFFCC"/>
      </patternFill>
    </fill>
    <fill>
      <patternFill patternType="solid">
        <fgColor rgb="FFD5F5E3"/>
        <bgColor rgb="FFE5E7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624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E5E7E9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AE5D3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E5D3"/>
      <rgbColor rgb="FFD5F5E3"/>
      <rgbColor rgb="FFFCF3CF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4" t="s">
        <v>4</v>
      </c>
      <c r="C6" s="4"/>
      <c r="D6" s="5"/>
      <c r="E6" s="6"/>
      <c r="F6" s="7"/>
      <c r="G6" s="8"/>
      <c r="H6" s="4"/>
      <c r="I6" s="9" t="s">
        <v>14</v>
      </c>
      <c r="J6" s="10"/>
    </row>
    <row r="7" customFormat="false" ht="15" hidden="false" customHeight="false" outlineLevel="0" collapsed="false">
      <c r="A7" s="4" t="s">
        <v>15</v>
      </c>
      <c r="B7" s="4" t="s">
        <v>16</v>
      </c>
      <c r="C7" s="4"/>
      <c r="D7" s="5"/>
      <c r="E7" s="6"/>
      <c r="F7" s="7"/>
      <c r="G7" s="8"/>
      <c r="H7" s="4"/>
      <c r="I7" s="9" t="s">
        <v>14</v>
      </c>
      <c r="J7" s="10"/>
    </row>
    <row r="8" customFormat="false" ht="15" hidden="false" customHeight="false" outlineLevel="0" collapsed="false">
      <c r="A8" s="4" t="s">
        <v>17</v>
      </c>
      <c r="B8" s="4" t="s">
        <v>16</v>
      </c>
      <c r="C8" s="4"/>
      <c r="D8" s="5"/>
      <c r="E8" s="6"/>
      <c r="F8" s="7"/>
      <c r="G8" s="8"/>
      <c r="H8" s="4"/>
      <c r="I8" s="9" t="s">
        <v>14</v>
      </c>
      <c r="J8" s="10"/>
    </row>
    <row r="9" customFormat="false" ht="15" hidden="false" customHeight="false" outlineLevel="0" collapsed="false">
      <c r="A9" s="4" t="s">
        <v>18</v>
      </c>
      <c r="B9" s="4" t="s">
        <v>19</v>
      </c>
      <c r="C9" s="4"/>
      <c r="D9" s="5"/>
      <c r="E9" s="6"/>
      <c r="F9" s="7"/>
      <c r="G9" s="8"/>
      <c r="H9" s="4"/>
      <c r="I9" s="9" t="s">
        <v>14</v>
      </c>
      <c r="J9" s="10"/>
    </row>
    <row r="10" customFormat="false" ht="15" hidden="false" customHeight="false" outlineLevel="0" collapsed="false">
      <c r="A10" s="4" t="s">
        <v>20</v>
      </c>
      <c r="B10" s="4" t="s">
        <v>19</v>
      </c>
      <c r="C10" s="4"/>
      <c r="D10" s="5"/>
      <c r="E10" s="6"/>
      <c r="F10" s="7"/>
      <c r="G10" s="8"/>
      <c r="H10" s="4"/>
      <c r="I10" s="9" t="s">
        <v>14</v>
      </c>
      <c r="J10" s="10"/>
    </row>
    <row r="11" customFormat="false" ht="15" hidden="false" customHeight="false" outlineLevel="0" collapsed="false">
      <c r="A11" s="4" t="s">
        <v>21</v>
      </c>
      <c r="B11" s="4" t="s">
        <v>22</v>
      </c>
      <c r="C11" s="4"/>
      <c r="D11" s="5"/>
      <c r="E11" s="6"/>
      <c r="F11" s="7"/>
      <c r="G11" s="8"/>
      <c r="H11" s="4"/>
      <c r="I11" s="9" t="s">
        <v>14</v>
      </c>
      <c r="J11" s="10"/>
    </row>
    <row r="12" customFormat="false" ht="15" hidden="false" customHeight="false" outlineLevel="0" collapsed="false">
      <c r="A12" s="4" t="s">
        <v>23</v>
      </c>
      <c r="B12" s="4" t="s">
        <v>24</v>
      </c>
      <c r="C12" s="4"/>
      <c r="D12" s="5"/>
      <c r="E12" s="6"/>
      <c r="F12" s="7"/>
      <c r="G12" s="8"/>
      <c r="H12" s="4"/>
      <c r="I12" s="9" t="s">
        <v>14</v>
      </c>
      <c r="J12" s="10"/>
    </row>
    <row r="13" customFormat="false" ht="15" hidden="false" customHeight="false" outlineLevel="0" collapsed="false">
      <c r="A13" s="4" t="s">
        <v>25</v>
      </c>
      <c r="B13" s="4" t="s">
        <v>22</v>
      </c>
      <c r="C13" s="4" t="s">
        <v>26</v>
      </c>
      <c r="D13" s="5" t="n">
        <v>100.61</v>
      </c>
      <c r="E13" s="6" t="n">
        <v>45300</v>
      </c>
      <c r="F13" s="7" t="n">
        <v>1</v>
      </c>
      <c r="G13" s="8"/>
      <c r="H13" s="4" t="s">
        <v>27</v>
      </c>
      <c r="I13" s="11" t="s">
        <v>28</v>
      </c>
      <c r="J13" s="10"/>
    </row>
    <row r="14" customFormat="false" ht="15" hidden="false" customHeight="false" outlineLevel="0" collapsed="false">
      <c r="A14" s="4" t="s">
        <v>29</v>
      </c>
      <c r="B14" s="4" t="s">
        <v>22</v>
      </c>
      <c r="C14" s="4" t="s">
        <v>26</v>
      </c>
      <c r="D14" s="5" t="n">
        <v>12.77</v>
      </c>
      <c r="E14" s="6" t="n">
        <v>44993</v>
      </c>
      <c r="F14" s="7" t="n">
        <v>4</v>
      </c>
      <c r="G14" s="8" t="n">
        <v>0.19</v>
      </c>
      <c r="H14" s="4" t="s">
        <v>27</v>
      </c>
      <c r="I14" s="11" t="s">
        <v>28</v>
      </c>
      <c r="J14" s="10"/>
    </row>
    <row r="15" customFormat="false" ht="15" hidden="false" customHeight="false" outlineLevel="0" collapsed="false">
      <c r="A15" s="4" t="s">
        <v>30</v>
      </c>
      <c r="B15" s="4" t="s">
        <v>22</v>
      </c>
      <c r="C15" s="4" t="s">
        <v>26</v>
      </c>
      <c r="D15" s="5" t="n">
        <v>16.78</v>
      </c>
      <c r="E15" s="6" t="n">
        <v>45264</v>
      </c>
      <c r="F15" s="7" t="n">
        <v>14</v>
      </c>
      <c r="G15" s="8" t="n">
        <v>0.21</v>
      </c>
      <c r="H15" s="4" t="s">
        <v>27</v>
      </c>
      <c r="I15" s="11" t="s">
        <v>28</v>
      </c>
      <c r="J15" s="10"/>
    </row>
    <row r="16" customFormat="false" ht="15" hidden="false" customHeight="false" outlineLevel="0" collapsed="false">
      <c r="A16" s="4" t="s">
        <v>31</v>
      </c>
      <c r="B16" s="4" t="s">
        <v>22</v>
      </c>
      <c r="C16" s="4" t="s">
        <v>26</v>
      </c>
      <c r="D16" s="5" t="n">
        <v>10.7</v>
      </c>
      <c r="E16" s="6" t="n">
        <v>45225</v>
      </c>
      <c r="F16" s="7" t="n">
        <v>6</v>
      </c>
      <c r="G16" s="8" t="n">
        <v>0.16</v>
      </c>
      <c r="H16" s="4" t="s">
        <v>32</v>
      </c>
      <c r="I16" s="11" t="s">
        <v>28</v>
      </c>
      <c r="J16" s="10"/>
    </row>
    <row r="17" customFormat="false" ht="15" hidden="false" customHeight="false" outlineLevel="0" collapsed="false">
      <c r="A17" s="4" t="s">
        <v>33</v>
      </c>
      <c r="B17" s="4" t="s">
        <v>22</v>
      </c>
      <c r="C17" s="4" t="s">
        <v>34</v>
      </c>
      <c r="D17" s="5" t="n">
        <v>1499</v>
      </c>
      <c r="E17" s="6" t="n">
        <v>45261</v>
      </c>
      <c r="F17" s="7" t="n">
        <v>4</v>
      </c>
      <c r="G17" s="8" t="n">
        <v>0.15</v>
      </c>
      <c r="H17" s="4" t="s">
        <v>35</v>
      </c>
      <c r="I17" s="11" t="s">
        <v>28</v>
      </c>
      <c r="J17" s="10"/>
    </row>
    <row r="18" customFormat="false" ht="15" hidden="false" customHeight="false" outlineLevel="0" collapsed="false">
      <c r="A18" s="4" t="s">
        <v>36</v>
      </c>
      <c r="B18" s="4" t="s">
        <v>22</v>
      </c>
      <c r="C18" s="4" t="s">
        <v>37</v>
      </c>
      <c r="D18" s="5" t="n">
        <v>68.31</v>
      </c>
      <c r="E18" s="6" t="n">
        <v>45453</v>
      </c>
      <c r="F18" s="7" t="n">
        <v>3</v>
      </c>
      <c r="G18" s="8" t="n">
        <v>0.43</v>
      </c>
      <c r="H18" s="4" t="s">
        <v>32</v>
      </c>
      <c r="I18" s="11" t="s">
        <v>28</v>
      </c>
      <c r="J18" s="10"/>
    </row>
    <row r="19" customFormat="false" ht="15" hidden="false" customHeight="false" outlineLevel="0" collapsed="false">
      <c r="A19" s="4" t="s">
        <v>38</v>
      </c>
      <c r="B19" s="4" t="s">
        <v>19</v>
      </c>
      <c r="C19" s="4" t="s">
        <v>37</v>
      </c>
      <c r="D19" s="5" t="n">
        <v>1.62</v>
      </c>
      <c r="E19" s="6" t="n">
        <v>45223</v>
      </c>
      <c r="F19" s="7" t="n">
        <v>1</v>
      </c>
      <c r="G19" s="8"/>
      <c r="H19" s="4" t="s">
        <v>32</v>
      </c>
      <c r="I19" s="11" t="s">
        <v>28</v>
      </c>
      <c r="J19" s="10"/>
    </row>
    <row r="20" customFormat="false" ht="15" hidden="false" customHeight="false" outlineLevel="0" collapsed="false">
      <c r="A20" s="4" t="s">
        <v>39</v>
      </c>
      <c r="B20" s="4" t="s">
        <v>22</v>
      </c>
      <c r="C20" s="4" t="s">
        <v>37</v>
      </c>
      <c r="D20" s="5" t="n">
        <v>49.05</v>
      </c>
      <c r="E20" s="6" t="n">
        <v>45239</v>
      </c>
      <c r="F20" s="7" t="n">
        <v>1</v>
      </c>
      <c r="G20" s="8"/>
      <c r="H20" s="4" t="s">
        <v>32</v>
      </c>
      <c r="I20" s="11" t="s">
        <v>28</v>
      </c>
      <c r="J20" s="10"/>
    </row>
    <row r="21" customFormat="false" ht="15" hidden="false" customHeight="false" outlineLevel="0" collapsed="false">
      <c r="A21" s="4" t="s">
        <v>40</v>
      </c>
      <c r="B21" s="4" t="s">
        <v>22</v>
      </c>
      <c r="C21" s="4" t="s">
        <v>41</v>
      </c>
      <c r="D21" s="5" t="n">
        <v>184.54</v>
      </c>
      <c r="E21" s="6" t="n">
        <v>45049</v>
      </c>
      <c r="F21" s="7" t="n">
        <v>1</v>
      </c>
      <c r="G21" s="8"/>
      <c r="H21" s="4" t="s">
        <v>42</v>
      </c>
      <c r="I21" s="11" t="s">
        <v>28</v>
      </c>
      <c r="J21" s="10"/>
    </row>
    <row r="22" customFormat="false" ht="15" hidden="false" customHeight="false" outlineLevel="0" collapsed="false">
      <c r="A22" s="4" t="s">
        <v>43</v>
      </c>
      <c r="B22" s="4" t="s">
        <v>22</v>
      </c>
      <c r="C22" s="4" t="s">
        <v>44</v>
      </c>
      <c r="D22" s="5" t="n">
        <v>20.55</v>
      </c>
      <c r="E22" s="6" t="n">
        <v>45373</v>
      </c>
      <c r="F22" s="7" t="n">
        <v>6</v>
      </c>
      <c r="G22" s="8" t="n">
        <v>0.11</v>
      </c>
      <c r="H22" s="4" t="s">
        <v>45</v>
      </c>
      <c r="I22" s="11" t="s">
        <v>28</v>
      </c>
      <c r="J22" s="10"/>
    </row>
    <row r="23" customFormat="false" ht="15" hidden="false" customHeight="false" outlineLevel="0" collapsed="false">
      <c r="A23" s="4" t="s">
        <v>46</v>
      </c>
      <c r="B23" s="4" t="s">
        <v>19</v>
      </c>
      <c r="C23" s="4" t="s">
        <v>47</v>
      </c>
      <c r="D23" s="5" t="n">
        <v>10</v>
      </c>
      <c r="E23" s="6" t="n">
        <v>45448</v>
      </c>
      <c r="F23" s="7" t="n">
        <v>9</v>
      </c>
      <c r="G23" s="8" t="n">
        <v>0.29</v>
      </c>
      <c r="H23" s="4" t="s">
        <v>48</v>
      </c>
      <c r="I23" s="11" t="s">
        <v>28</v>
      </c>
      <c r="J23" s="10"/>
    </row>
    <row r="24" customFormat="false" ht="15" hidden="false" customHeight="false" outlineLevel="0" collapsed="false">
      <c r="A24" s="4" t="s">
        <v>49</v>
      </c>
      <c r="B24" s="4" t="s">
        <v>19</v>
      </c>
      <c r="C24" s="4" t="s">
        <v>47</v>
      </c>
      <c r="D24" s="5" t="n">
        <v>1.93</v>
      </c>
      <c r="E24" s="6" t="n">
        <v>45190</v>
      </c>
      <c r="F24" s="7" t="n">
        <v>2</v>
      </c>
      <c r="G24" s="8" t="n">
        <v>0.08</v>
      </c>
      <c r="H24" s="4" t="s">
        <v>48</v>
      </c>
      <c r="I24" s="11" t="s">
        <v>28</v>
      </c>
      <c r="J24" s="10"/>
    </row>
    <row r="25" customFormat="false" ht="15" hidden="false" customHeight="false" outlineLevel="0" collapsed="false">
      <c r="A25" s="4" t="s">
        <v>50</v>
      </c>
      <c r="B25" s="4" t="s">
        <v>19</v>
      </c>
      <c r="C25" s="4" t="s">
        <v>47</v>
      </c>
      <c r="D25" s="5" t="n">
        <v>15.8</v>
      </c>
      <c r="E25" s="6" t="n">
        <v>45260</v>
      </c>
      <c r="F25" s="7" t="n">
        <v>5</v>
      </c>
      <c r="G25" s="8" t="n">
        <v>0.53</v>
      </c>
      <c r="H25" s="4" t="s">
        <v>48</v>
      </c>
      <c r="I25" s="11" t="s">
        <v>28</v>
      </c>
      <c r="J25" s="10"/>
    </row>
    <row r="26" customFormat="false" ht="15" hidden="false" customHeight="false" outlineLevel="0" collapsed="false">
      <c r="A26" s="4" t="s">
        <v>51</v>
      </c>
      <c r="B26" s="4" t="s">
        <v>19</v>
      </c>
      <c r="C26" s="4" t="s">
        <v>47</v>
      </c>
      <c r="D26" s="5" t="n">
        <v>17.77</v>
      </c>
      <c r="E26" s="6" t="n">
        <v>44929</v>
      </c>
      <c r="F26" s="7" t="n">
        <v>1</v>
      </c>
      <c r="G26" s="8"/>
      <c r="H26" s="4" t="s">
        <v>48</v>
      </c>
      <c r="I26" s="11" t="s">
        <v>28</v>
      </c>
      <c r="J26" s="10"/>
    </row>
    <row r="27" customFormat="false" ht="15" hidden="false" customHeight="false" outlineLevel="0" collapsed="false">
      <c r="A27" s="4" t="s">
        <v>52</v>
      </c>
      <c r="B27" s="4" t="s">
        <v>22</v>
      </c>
      <c r="C27" s="4" t="s">
        <v>26</v>
      </c>
      <c r="D27" s="5" t="n">
        <v>67.26</v>
      </c>
      <c r="E27" s="6" t="n">
        <v>45576</v>
      </c>
      <c r="F27" s="7" t="n">
        <v>12</v>
      </c>
      <c r="G27" s="8" t="n">
        <v>0.12</v>
      </c>
      <c r="H27" s="4" t="s">
        <v>53</v>
      </c>
      <c r="I27" s="12" t="s">
        <v>54</v>
      </c>
      <c r="J27" s="10"/>
    </row>
    <row r="28" customFormat="false" ht="15" hidden="false" customHeight="false" outlineLevel="0" collapsed="false">
      <c r="A28" s="4" t="s">
        <v>55</v>
      </c>
      <c r="B28" s="4" t="s">
        <v>22</v>
      </c>
      <c r="C28" s="4" t="s">
        <v>26</v>
      </c>
      <c r="D28" s="5" t="n">
        <v>11.23</v>
      </c>
      <c r="E28" s="6" t="n">
        <v>45714</v>
      </c>
      <c r="F28" s="7" t="n">
        <v>2</v>
      </c>
      <c r="G28" s="8" t="n">
        <v>0.17</v>
      </c>
      <c r="H28" s="4" t="s">
        <v>32</v>
      </c>
      <c r="I28" s="12" t="s">
        <v>54</v>
      </c>
      <c r="J28" s="10"/>
    </row>
    <row r="29" customFormat="false" ht="15" hidden="false" customHeight="false" outlineLevel="0" collapsed="false">
      <c r="A29" s="4" t="s">
        <v>56</v>
      </c>
      <c r="B29" s="4" t="s">
        <v>22</v>
      </c>
      <c r="C29" s="4" t="s">
        <v>26</v>
      </c>
      <c r="D29" s="5" t="n">
        <v>35.91</v>
      </c>
      <c r="E29" s="6" t="n">
        <v>45877</v>
      </c>
      <c r="F29" s="7" t="n">
        <v>23</v>
      </c>
      <c r="G29" s="8" t="n">
        <v>0.36</v>
      </c>
      <c r="H29" s="4" t="s">
        <v>32</v>
      </c>
      <c r="I29" s="12" t="s">
        <v>54</v>
      </c>
      <c r="J29" s="10"/>
    </row>
    <row r="30" customFormat="false" ht="15" hidden="false" customHeight="false" outlineLevel="0" collapsed="false">
      <c r="A30" s="4" t="s">
        <v>57</v>
      </c>
      <c r="B30" s="4" t="s">
        <v>22</v>
      </c>
      <c r="C30" s="4" t="s">
        <v>26</v>
      </c>
      <c r="D30" s="5" t="n">
        <v>79.86</v>
      </c>
      <c r="E30" s="6" t="n">
        <v>45783</v>
      </c>
      <c r="F30" s="7" t="n">
        <v>16</v>
      </c>
      <c r="G30" s="8" t="n">
        <v>2.4</v>
      </c>
      <c r="H30" s="4" t="s">
        <v>32</v>
      </c>
      <c r="I30" s="12" t="s">
        <v>54</v>
      </c>
      <c r="J30" s="10"/>
    </row>
    <row r="31" customFormat="false" ht="15" hidden="false" customHeight="false" outlineLevel="0" collapsed="false">
      <c r="A31" s="4" t="s">
        <v>58</v>
      </c>
      <c r="B31" s="4" t="s">
        <v>22</v>
      </c>
      <c r="C31" s="4" t="s">
        <v>26</v>
      </c>
      <c r="D31" s="5" t="n">
        <v>14.27</v>
      </c>
      <c r="E31" s="6" t="n">
        <v>45818</v>
      </c>
      <c r="F31" s="7" t="n">
        <v>9</v>
      </c>
      <c r="G31" s="8" t="n">
        <v>0.11</v>
      </c>
      <c r="H31" s="4" t="s">
        <v>32</v>
      </c>
      <c r="I31" s="12" t="s">
        <v>54</v>
      </c>
      <c r="J31" s="10"/>
    </row>
    <row r="32" customFormat="false" ht="15" hidden="false" customHeight="false" outlineLevel="0" collapsed="false">
      <c r="A32" s="4" t="s">
        <v>59</v>
      </c>
      <c r="B32" s="4" t="s">
        <v>22</v>
      </c>
      <c r="C32" s="4" t="s">
        <v>60</v>
      </c>
      <c r="D32" s="5" t="n">
        <v>0.8</v>
      </c>
      <c r="E32" s="6" t="n">
        <v>45849</v>
      </c>
      <c r="F32" s="7" t="n">
        <v>15</v>
      </c>
      <c r="G32" s="8" t="n">
        <v>0.05</v>
      </c>
      <c r="H32" s="4" t="s">
        <v>32</v>
      </c>
      <c r="I32" s="12" t="s">
        <v>54</v>
      </c>
      <c r="J32" s="10"/>
    </row>
    <row r="33" customFormat="false" ht="15" hidden="false" customHeight="false" outlineLevel="0" collapsed="false">
      <c r="A33" s="4" t="s">
        <v>61</v>
      </c>
      <c r="B33" s="4" t="s">
        <v>22</v>
      </c>
      <c r="C33" s="4"/>
      <c r="D33" s="5" t="n">
        <v>1800</v>
      </c>
      <c r="E33" s="6" t="n">
        <v>45799</v>
      </c>
      <c r="F33" s="7" t="n">
        <v>25</v>
      </c>
      <c r="G33" s="8" t="n">
        <v>0.59</v>
      </c>
      <c r="H33" s="4" t="n">
        <v>1</v>
      </c>
      <c r="I33" s="12" t="s">
        <v>54</v>
      </c>
      <c r="J33" s="10"/>
    </row>
    <row r="34" customFormat="false" ht="15" hidden="false" customHeight="false" outlineLevel="0" collapsed="false">
      <c r="A34" s="4" t="s">
        <v>62</v>
      </c>
      <c r="B34" s="4" t="s">
        <v>24</v>
      </c>
      <c r="C34" s="4"/>
      <c r="D34" s="5" t="n">
        <v>430</v>
      </c>
      <c r="E34" s="6" t="n">
        <v>45799</v>
      </c>
      <c r="F34" s="7" t="n">
        <v>11</v>
      </c>
      <c r="G34" s="8" t="n">
        <v>0.05</v>
      </c>
      <c r="H34" s="4" t="n">
        <v>1</v>
      </c>
      <c r="I34" s="12" t="s">
        <v>54</v>
      </c>
      <c r="J34" s="10"/>
    </row>
    <row r="35" customFormat="false" ht="15" hidden="false" customHeight="false" outlineLevel="0" collapsed="false">
      <c r="A35" s="4" t="s">
        <v>63</v>
      </c>
      <c r="B35" s="4" t="s">
        <v>22</v>
      </c>
      <c r="C35" s="4" t="s">
        <v>37</v>
      </c>
      <c r="D35" s="5" t="n">
        <v>2.34</v>
      </c>
      <c r="E35" s="6" t="n">
        <v>45849</v>
      </c>
      <c r="F35" s="7" t="n">
        <v>36</v>
      </c>
      <c r="G35" s="8" t="n">
        <v>2.08</v>
      </c>
      <c r="H35" s="4" t="s">
        <v>32</v>
      </c>
      <c r="I35" s="12" t="s">
        <v>54</v>
      </c>
      <c r="J35" s="10"/>
    </row>
    <row r="36" customFormat="false" ht="15" hidden="false" customHeight="false" outlineLevel="0" collapsed="false">
      <c r="A36" s="4" t="s">
        <v>64</v>
      </c>
      <c r="B36" s="4" t="s">
        <v>22</v>
      </c>
      <c r="C36" s="4" t="s">
        <v>37</v>
      </c>
      <c r="D36" s="5" t="n">
        <v>172.7</v>
      </c>
      <c r="E36" s="6" t="n">
        <v>45554</v>
      </c>
      <c r="F36" s="7" t="n">
        <v>6</v>
      </c>
      <c r="G36" s="8" t="n">
        <v>0.59</v>
      </c>
      <c r="H36" s="4" t="s">
        <v>32</v>
      </c>
      <c r="I36" s="12" t="s">
        <v>54</v>
      </c>
      <c r="J36" s="10"/>
    </row>
    <row r="37" customFormat="false" ht="15" hidden="false" customHeight="false" outlineLevel="0" collapsed="false">
      <c r="A37" s="4" t="s">
        <v>65</v>
      </c>
      <c r="B37" s="4" t="s">
        <v>19</v>
      </c>
      <c r="C37" s="4" t="s">
        <v>37</v>
      </c>
      <c r="D37" s="5" t="n">
        <v>0.1</v>
      </c>
      <c r="E37" s="6" t="n">
        <v>45849</v>
      </c>
      <c r="F37" s="7" t="n">
        <v>15</v>
      </c>
      <c r="G37" s="8" t="n">
        <v>1.25</v>
      </c>
      <c r="H37" s="4" t="s">
        <v>32</v>
      </c>
      <c r="I37" s="12" t="s">
        <v>54</v>
      </c>
      <c r="J37" s="10"/>
    </row>
    <row r="38" customFormat="false" ht="15" hidden="false" customHeight="false" outlineLevel="0" collapsed="false">
      <c r="A38" s="4" t="s">
        <v>66</v>
      </c>
      <c r="B38" s="4" t="s">
        <v>22</v>
      </c>
      <c r="C38" s="4" t="s">
        <v>41</v>
      </c>
      <c r="D38" s="5" t="n">
        <v>49.4</v>
      </c>
      <c r="E38" s="6" t="n">
        <v>45877</v>
      </c>
      <c r="F38" s="7" t="n">
        <v>3</v>
      </c>
      <c r="G38" s="8" t="n">
        <v>1.92</v>
      </c>
      <c r="H38" s="4" t="s">
        <v>32</v>
      </c>
      <c r="I38" s="12" t="s">
        <v>54</v>
      </c>
      <c r="J38" s="10"/>
    </row>
    <row r="39" customFormat="false" ht="15" hidden="false" customHeight="false" outlineLevel="0" collapsed="false">
      <c r="A39" s="4" t="s">
        <v>67</v>
      </c>
      <c r="B39" s="4" t="s">
        <v>22</v>
      </c>
      <c r="C39" s="4" t="s">
        <v>41</v>
      </c>
      <c r="D39" s="5" t="n">
        <v>176.31</v>
      </c>
      <c r="E39" s="6" t="n">
        <v>45736</v>
      </c>
      <c r="F39" s="7" t="n">
        <v>28</v>
      </c>
      <c r="G39" s="8" t="n">
        <v>0.08</v>
      </c>
      <c r="H39" s="4" t="s">
        <v>32</v>
      </c>
      <c r="I39" s="12" t="s">
        <v>54</v>
      </c>
      <c r="J39" s="10"/>
    </row>
    <row r="40" customFormat="false" ht="15" hidden="false" customHeight="false" outlineLevel="0" collapsed="false">
      <c r="A40" s="4" t="s">
        <v>68</v>
      </c>
      <c r="B40" s="4" t="s">
        <v>22</v>
      </c>
      <c r="C40" s="4" t="s">
        <v>69</v>
      </c>
      <c r="D40" s="5" t="n">
        <v>11.11</v>
      </c>
      <c r="E40" s="6" t="n">
        <v>45855</v>
      </c>
      <c r="F40" s="7" t="n">
        <v>96</v>
      </c>
      <c r="G40" s="8" t="n">
        <v>0.4</v>
      </c>
      <c r="H40" s="4" t="s">
        <v>70</v>
      </c>
      <c r="I40" s="12" t="s">
        <v>54</v>
      </c>
      <c r="J40" s="10"/>
    </row>
    <row r="41" customFormat="false" ht="15" hidden="false" customHeight="false" outlineLevel="0" collapsed="false">
      <c r="A41" s="4" t="s">
        <v>71</v>
      </c>
      <c r="B41" s="4" t="s">
        <v>22</v>
      </c>
      <c r="C41" s="4" t="s">
        <v>44</v>
      </c>
      <c r="D41" s="5" t="n">
        <v>10.5</v>
      </c>
      <c r="E41" s="6" t="n">
        <v>45841</v>
      </c>
      <c r="F41" s="7" t="n">
        <v>26</v>
      </c>
      <c r="G41" s="8" t="n">
        <v>1.01</v>
      </c>
      <c r="H41" s="4" t="s">
        <v>72</v>
      </c>
      <c r="I41" s="12" t="s">
        <v>54</v>
      </c>
      <c r="J41" s="10"/>
    </row>
    <row r="42" customFormat="false" ht="15" hidden="false" customHeight="false" outlineLevel="0" collapsed="false">
      <c r="A42" s="4" t="s">
        <v>73</v>
      </c>
      <c r="B42" s="4" t="s">
        <v>19</v>
      </c>
      <c r="C42" s="4" t="s">
        <v>74</v>
      </c>
      <c r="D42" s="5" t="n">
        <v>11</v>
      </c>
      <c r="E42" s="6" t="n">
        <v>45736</v>
      </c>
      <c r="F42" s="7" t="n">
        <v>6</v>
      </c>
      <c r="G42" s="8" t="n">
        <v>0.1</v>
      </c>
      <c r="H42" s="4" t="s">
        <v>75</v>
      </c>
      <c r="I42" s="12" t="s">
        <v>54</v>
      </c>
      <c r="J42" s="10"/>
    </row>
    <row r="43" customFormat="false" ht="15" hidden="false" customHeight="false" outlineLevel="0" collapsed="false">
      <c r="A43" s="4" t="s">
        <v>76</v>
      </c>
      <c r="B43" s="4" t="s">
        <v>22</v>
      </c>
      <c r="C43" s="4" t="s">
        <v>77</v>
      </c>
      <c r="D43" s="5" t="n">
        <v>31.52</v>
      </c>
      <c r="E43" s="6" t="n">
        <v>46041</v>
      </c>
      <c r="F43" s="7" t="n">
        <v>29</v>
      </c>
      <c r="G43" s="8" t="n">
        <v>3.24</v>
      </c>
      <c r="H43" s="4" t="s">
        <v>78</v>
      </c>
      <c r="I43" s="13" t="s">
        <v>79</v>
      </c>
      <c r="J43" s="10"/>
    </row>
    <row r="44" customFormat="false" ht="15" hidden="false" customHeight="false" outlineLevel="0" collapsed="false">
      <c r="A44" s="4" t="s">
        <v>80</v>
      </c>
      <c r="B44" s="4" t="s">
        <v>22</v>
      </c>
      <c r="C44" s="4" t="s">
        <v>26</v>
      </c>
      <c r="D44" s="5" t="n">
        <v>35.82</v>
      </c>
      <c r="E44" s="6" t="n">
        <v>45938</v>
      </c>
      <c r="F44" s="7" t="n">
        <v>8</v>
      </c>
      <c r="G44" s="8" t="n">
        <v>0.74</v>
      </c>
      <c r="H44" s="4" t="s">
        <v>32</v>
      </c>
      <c r="I44" s="13" t="s">
        <v>79</v>
      </c>
      <c r="J44" s="10"/>
    </row>
    <row r="45" customFormat="false" ht="15" hidden="false" customHeight="false" outlineLevel="0" collapsed="false">
      <c r="A45" s="4" t="s">
        <v>81</v>
      </c>
      <c r="B45" s="4" t="s">
        <v>22</v>
      </c>
      <c r="C45" s="4" t="s">
        <v>60</v>
      </c>
      <c r="D45" s="5" t="n">
        <v>0.85</v>
      </c>
      <c r="E45" s="6" t="n">
        <v>45938</v>
      </c>
      <c r="F45" s="7" t="n">
        <v>33</v>
      </c>
      <c r="G45" s="8" t="n">
        <v>0.18</v>
      </c>
      <c r="H45" s="4" t="s">
        <v>32</v>
      </c>
      <c r="I45" s="13" t="s">
        <v>79</v>
      </c>
      <c r="J45" s="10"/>
    </row>
    <row r="46" customFormat="false" ht="15" hidden="false" customHeight="false" outlineLevel="0" collapsed="false">
      <c r="A46" s="4" t="s">
        <v>82</v>
      </c>
      <c r="B46" s="4" t="s">
        <v>22</v>
      </c>
      <c r="C46" s="4" t="s">
        <v>60</v>
      </c>
      <c r="D46" s="5" t="n">
        <v>0.54</v>
      </c>
      <c r="E46" s="6" t="n">
        <v>46007</v>
      </c>
      <c r="F46" s="7" t="n">
        <v>11</v>
      </c>
      <c r="G46" s="8" t="n">
        <v>0.49</v>
      </c>
      <c r="H46" s="4" t="s">
        <v>32</v>
      </c>
      <c r="I46" s="13" t="s">
        <v>79</v>
      </c>
      <c r="J46" s="10"/>
    </row>
    <row r="47" customFormat="false" ht="15" hidden="false" customHeight="false" outlineLevel="0" collapsed="false">
      <c r="A47" s="4" t="s">
        <v>83</v>
      </c>
      <c r="B47" s="4" t="s">
        <v>22</v>
      </c>
      <c r="C47" s="4" t="s">
        <v>37</v>
      </c>
      <c r="D47" s="5" t="n">
        <v>101.06</v>
      </c>
      <c r="E47" s="6" t="n">
        <v>46014</v>
      </c>
      <c r="F47" s="7" t="n">
        <v>44</v>
      </c>
      <c r="G47" s="8" t="n">
        <v>1.58</v>
      </c>
      <c r="H47" s="4" t="s">
        <v>70</v>
      </c>
      <c r="I47" s="13" t="s">
        <v>79</v>
      </c>
      <c r="J47" s="10"/>
    </row>
    <row r="48" customFormat="false" ht="15" hidden="false" customHeight="false" outlineLevel="0" collapsed="false">
      <c r="A48" s="4" t="s">
        <v>84</v>
      </c>
      <c r="B48" s="4" t="s">
        <v>22</v>
      </c>
      <c r="C48" s="4" t="s">
        <v>37</v>
      </c>
      <c r="D48" s="5" t="n">
        <v>80</v>
      </c>
      <c r="E48" s="6" t="n">
        <v>45916</v>
      </c>
      <c r="F48" s="7" t="n">
        <v>48</v>
      </c>
      <c r="G48" s="8" t="n">
        <v>2.45</v>
      </c>
      <c r="H48" s="4" t="s">
        <v>70</v>
      </c>
      <c r="I48" s="13" t="s">
        <v>79</v>
      </c>
      <c r="J48" s="10"/>
    </row>
    <row r="49" customFormat="false" ht="15" hidden="false" customHeight="false" outlineLevel="0" collapsed="false">
      <c r="A49" s="4" t="s">
        <v>85</v>
      </c>
      <c r="B49" s="4" t="s">
        <v>22</v>
      </c>
      <c r="C49" s="4" t="s">
        <v>37</v>
      </c>
      <c r="D49" s="5" t="n">
        <v>3.6</v>
      </c>
      <c r="E49" s="6" t="n">
        <v>46007</v>
      </c>
      <c r="F49" s="7" t="n">
        <v>4</v>
      </c>
      <c r="G49" s="8" t="n">
        <v>0.29</v>
      </c>
      <c r="H49" s="4" t="s">
        <v>32</v>
      </c>
      <c r="I49" s="13" t="s">
        <v>79</v>
      </c>
      <c r="J49" s="10"/>
    </row>
    <row r="50" customFormat="false" ht="15" hidden="false" customHeight="false" outlineLevel="0" collapsed="false">
      <c r="A50" s="4" t="s">
        <v>86</v>
      </c>
      <c r="B50" s="4" t="s">
        <v>22</v>
      </c>
      <c r="C50" s="4" t="s">
        <v>37</v>
      </c>
      <c r="D50" s="5" t="n">
        <v>1.89</v>
      </c>
      <c r="E50" s="6" t="n">
        <v>46007</v>
      </c>
      <c r="F50" s="7" t="n">
        <v>18</v>
      </c>
      <c r="G50" s="8" t="n">
        <v>0.09</v>
      </c>
      <c r="H50" s="4" t="s">
        <v>32</v>
      </c>
      <c r="I50" s="13" t="s">
        <v>79</v>
      </c>
      <c r="J50" s="10"/>
    </row>
    <row r="51" customFormat="false" ht="15" hidden="false" customHeight="false" outlineLevel="0" collapsed="false">
      <c r="A51" s="4" t="s">
        <v>87</v>
      </c>
      <c r="B51" s="4" t="s">
        <v>22</v>
      </c>
      <c r="C51" s="4" t="s">
        <v>37</v>
      </c>
      <c r="D51" s="5" t="n">
        <v>4.05</v>
      </c>
      <c r="E51" s="6" t="n">
        <v>45910</v>
      </c>
      <c r="F51" s="7" t="n">
        <v>15</v>
      </c>
      <c r="G51" s="8" t="n">
        <v>0.82</v>
      </c>
      <c r="H51" s="4" t="s">
        <v>32</v>
      </c>
      <c r="I51" s="13" t="s">
        <v>79</v>
      </c>
      <c r="J51" s="10"/>
    </row>
    <row r="52" customFormat="false" ht="15" hidden="false" customHeight="false" outlineLevel="0" collapsed="false">
      <c r="A52" s="4" t="s">
        <v>88</v>
      </c>
      <c r="B52" s="4" t="s">
        <v>22</v>
      </c>
      <c r="C52" s="4" t="s">
        <v>37</v>
      </c>
      <c r="D52" s="5" t="n">
        <v>4.23</v>
      </c>
      <c r="E52" s="6" t="n">
        <v>46007</v>
      </c>
      <c r="F52" s="7" t="n">
        <v>5</v>
      </c>
      <c r="G52" s="8" t="n">
        <v>0.93</v>
      </c>
      <c r="H52" s="4" t="s">
        <v>32</v>
      </c>
      <c r="I52" s="13" t="s">
        <v>79</v>
      </c>
      <c r="J52" s="10"/>
    </row>
    <row r="53" customFormat="false" ht="15" hidden="false" customHeight="false" outlineLevel="0" collapsed="false">
      <c r="A53" s="4" t="s">
        <v>89</v>
      </c>
      <c r="B53" s="4" t="s">
        <v>22</v>
      </c>
      <c r="C53" s="4" t="s">
        <v>41</v>
      </c>
      <c r="D53" s="5" t="n">
        <v>340.65</v>
      </c>
      <c r="E53" s="6" t="n">
        <v>45973</v>
      </c>
      <c r="F53" s="7" t="n">
        <v>28</v>
      </c>
      <c r="G53" s="8" t="n">
        <v>0.03</v>
      </c>
      <c r="H53" s="4" t="s">
        <v>32</v>
      </c>
      <c r="I53" s="13" t="s">
        <v>79</v>
      </c>
      <c r="J53" s="10"/>
    </row>
    <row r="54" customFormat="false" ht="15" hidden="false" customHeight="false" outlineLevel="0" collapsed="false">
      <c r="A54" s="4" t="s">
        <v>90</v>
      </c>
      <c r="B54" s="4" t="s">
        <v>22</v>
      </c>
      <c r="C54" s="4" t="s">
        <v>41</v>
      </c>
      <c r="D54" s="5" t="n">
        <v>47.9</v>
      </c>
      <c r="E54" s="6" t="n">
        <v>45944</v>
      </c>
      <c r="F54" s="7" t="n">
        <v>36</v>
      </c>
      <c r="G54" s="8" t="n">
        <v>0.29</v>
      </c>
      <c r="H54" s="4" t="s">
        <v>91</v>
      </c>
      <c r="I54" s="13" t="s">
        <v>79</v>
      </c>
      <c r="J54" s="10"/>
    </row>
    <row r="55" customFormat="false" ht="15" hidden="false" customHeight="false" outlineLevel="0" collapsed="false">
      <c r="A55" s="4" t="s">
        <v>92</v>
      </c>
      <c r="B55" s="4" t="s">
        <v>22</v>
      </c>
      <c r="C55" s="4" t="s">
        <v>44</v>
      </c>
      <c r="D55" s="5" t="n">
        <v>18</v>
      </c>
      <c r="E55" s="6" t="n">
        <v>45910</v>
      </c>
      <c r="F55" s="7" t="n">
        <v>12</v>
      </c>
      <c r="G55" s="8" t="n">
        <v>0.03</v>
      </c>
      <c r="H55" s="4" t="s">
        <v>32</v>
      </c>
      <c r="I55" s="13" t="s">
        <v>79</v>
      </c>
      <c r="J55" s="10"/>
    </row>
    <row r="56" customFormat="false" ht="15" hidden="false" customHeight="false" outlineLevel="0" collapsed="false">
      <c r="A56" s="4" t="s">
        <v>93</v>
      </c>
      <c r="B56" s="4" t="s">
        <v>22</v>
      </c>
      <c r="C56" s="4" t="s">
        <v>44</v>
      </c>
      <c r="D56" s="5" t="n">
        <v>35.01</v>
      </c>
      <c r="E56" s="6" t="n">
        <v>45910</v>
      </c>
      <c r="F56" s="7" t="n">
        <v>44</v>
      </c>
      <c r="G56" s="8" t="n">
        <v>0.05</v>
      </c>
      <c r="H56" s="4" t="s">
        <v>32</v>
      </c>
      <c r="I56" s="13" t="s">
        <v>79</v>
      </c>
      <c r="J56" s="10"/>
    </row>
    <row r="57" customFormat="false" ht="15" hidden="false" customHeight="false" outlineLevel="0" collapsed="false">
      <c r="A57" s="4" t="s">
        <v>94</v>
      </c>
      <c r="B57" s="4" t="s">
        <v>22</v>
      </c>
      <c r="C57" s="4" t="s">
        <v>95</v>
      </c>
      <c r="D57" s="5" t="n">
        <v>69.95</v>
      </c>
      <c r="E57" s="6" t="n">
        <v>45922</v>
      </c>
      <c r="F57" s="7" t="n">
        <v>23</v>
      </c>
      <c r="G57" s="8" t="n">
        <v>1.15</v>
      </c>
      <c r="H57" s="4" t="s">
        <v>78</v>
      </c>
      <c r="I57" s="13" t="s">
        <v>79</v>
      </c>
      <c r="J57" s="10"/>
    </row>
    <row r="58" customFormat="false" ht="15" hidden="false" customHeight="false" outlineLevel="0" collapsed="false">
      <c r="A58" s="4" t="s">
        <v>96</v>
      </c>
      <c r="B58" s="4" t="s">
        <v>22</v>
      </c>
      <c r="C58" s="4" t="s">
        <v>97</v>
      </c>
      <c r="D58" s="5" t="n">
        <v>36.68</v>
      </c>
      <c r="E58" s="6" t="n">
        <v>45922</v>
      </c>
      <c r="F58" s="7" t="n">
        <v>1</v>
      </c>
      <c r="G58" s="8"/>
      <c r="H58" s="4" t="s">
        <v>78</v>
      </c>
      <c r="I58" s="13" t="s">
        <v>79</v>
      </c>
      <c r="J58" s="10"/>
    </row>
    <row r="59" customFormat="false" ht="15" hidden="false" customHeight="false" outlineLevel="0" collapsed="false">
      <c r="A59" s="4" t="s">
        <v>98</v>
      </c>
      <c r="B59" s="4" t="s">
        <v>16</v>
      </c>
      <c r="C59" s="4" t="s">
        <v>99</v>
      </c>
      <c r="D59" s="5" t="n">
        <v>50</v>
      </c>
      <c r="E59" s="6" t="n">
        <v>46044</v>
      </c>
      <c r="F59" s="7" t="n">
        <v>40</v>
      </c>
      <c r="G59" s="8" t="n">
        <v>0.57</v>
      </c>
      <c r="H59" s="4" t="s">
        <v>100</v>
      </c>
      <c r="I59" s="13" t="s">
        <v>79</v>
      </c>
      <c r="J59" s="10"/>
    </row>
    <row r="60" customFormat="false" ht="15" hidden="false" customHeight="false" outlineLevel="0" collapsed="false">
      <c r="A60" s="4" t="s">
        <v>101</v>
      </c>
      <c r="B60" s="4" t="s">
        <v>22</v>
      </c>
      <c r="C60" s="4" t="s">
        <v>102</v>
      </c>
      <c r="D60" s="5" t="n">
        <v>328.05</v>
      </c>
      <c r="E60" s="6" t="n">
        <v>45910</v>
      </c>
      <c r="F60" s="7" t="n">
        <v>6</v>
      </c>
      <c r="G60" s="8" t="n">
        <v>0.48</v>
      </c>
      <c r="H60" s="4" t="s">
        <v>103</v>
      </c>
      <c r="I60" s="13" t="s">
        <v>79</v>
      </c>
      <c r="J60" s="10"/>
    </row>
    <row r="61" customFormat="false" ht="15" hidden="false" customHeight="false" outlineLevel="0" collapsed="false">
      <c r="A61" s="4" t="s">
        <v>104</v>
      </c>
      <c r="B61" s="4" t="s">
        <v>22</v>
      </c>
      <c r="C61" s="4" t="s">
        <v>102</v>
      </c>
      <c r="D61" s="5" t="n">
        <v>89.9</v>
      </c>
      <c r="E61" s="6" t="n">
        <v>45910</v>
      </c>
      <c r="F61" s="7" t="n">
        <v>20</v>
      </c>
      <c r="G61" s="8" t="n">
        <v>0.37</v>
      </c>
      <c r="H61" s="4" t="s">
        <v>103</v>
      </c>
      <c r="I61" s="13" t="s">
        <v>79</v>
      </c>
      <c r="J61" s="10"/>
    </row>
    <row r="62" customFormat="false" ht="15" hidden="false" customHeight="false" outlineLevel="0" collapsed="false">
      <c r="A62" s="4" t="s">
        <v>105</v>
      </c>
      <c r="B62" s="4" t="s">
        <v>22</v>
      </c>
      <c r="C62" s="4" t="s">
        <v>102</v>
      </c>
      <c r="D62" s="5" t="n">
        <v>183.28</v>
      </c>
      <c r="E62" s="6" t="n">
        <v>45910</v>
      </c>
      <c r="F62" s="7" t="n">
        <v>12</v>
      </c>
      <c r="G62" s="8" t="n">
        <v>0.62</v>
      </c>
      <c r="H62" s="4" t="s">
        <v>103</v>
      </c>
      <c r="I62" s="13" t="s">
        <v>79</v>
      </c>
      <c r="J62" s="10"/>
    </row>
    <row r="63" customFormat="false" ht="15" hidden="false" customHeight="false" outlineLevel="0" collapsed="false">
      <c r="A63" s="4" t="s">
        <v>106</v>
      </c>
      <c r="B63" s="4" t="s">
        <v>24</v>
      </c>
      <c r="C63" s="4" t="s">
        <v>107</v>
      </c>
      <c r="D63" s="5" t="n">
        <v>130</v>
      </c>
      <c r="E63" s="6" t="n">
        <v>46257</v>
      </c>
      <c r="F63" s="7" t="n">
        <v>115</v>
      </c>
      <c r="G63" s="8" t="n">
        <v>0.15</v>
      </c>
      <c r="H63" s="4" t="s">
        <v>108</v>
      </c>
      <c r="I63" s="14" t="s">
        <v>109</v>
      </c>
      <c r="J63" s="10"/>
    </row>
    <row r="64" customFormat="false" ht="15" hidden="false" customHeight="false" outlineLevel="0" collapsed="false">
      <c r="A64" s="4" t="s">
        <v>110</v>
      </c>
      <c r="B64" s="4" t="s">
        <v>24</v>
      </c>
      <c r="C64" s="4" t="s">
        <v>107</v>
      </c>
      <c r="D64" s="5" t="n">
        <v>220</v>
      </c>
      <c r="E64" s="6" t="n">
        <v>46257</v>
      </c>
      <c r="F64" s="7" t="n">
        <v>97</v>
      </c>
      <c r="G64" s="8" t="n">
        <v>0.57</v>
      </c>
      <c r="H64" s="4" t="s">
        <v>108</v>
      </c>
      <c r="I64" s="14" t="s">
        <v>109</v>
      </c>
      <c r="J64" s="10"/>
    </row>
    <row r="65" customFormat="false" ht="15" hidden="false" customHeight="false" outlineLevel="0" collapsed="false">
      <c r="A65" s="4" t="s">
        <v>111</v>
      </c>
      <c r="B65" s="4" t="s">
        <v>24</v>
      </c>
      <c r="C65" s="4" t="s">
        <v>107</v>
      </c>
      <c r="D65" s="5" t="n">
        <v>130</v>
      </c>
      <c r="E65" s="6" t="n">
        <v>46257</v>
      </c>
      <c r="F65" s="7" t="n">
        <v>115</v>
      </c>
      <c r="G65" s="8" t="n">
        <v>0.15</v>
      </c>
      <c r="H65" s="4" t="s">
        <v>108</v>
      </c>
      <c r="I65" s="14" t="s">
        <v>109</v>
      </c>
      <c r="J65" s="10"/>
    </row>
    <row r="66" customFormat="false" ht="15" hidden="false" customHeight="false" outlineLevel="0" collapsed="false">
      <c r="A66" s="4" t="s">
        <v>112</v>
      </c>
      <c r="B66" s="4" t="s">
        <v>113</v>
      </c>
      <c r="C66" s="4" t="s">
        <v>26</v>
      </c>
      <c r="D66" s="5" t="n">
        <v>14</v>
      </c>
      <c r="E66" s="6" t="n">
        <v>46257</v>
      </c>
      <c r="F66" s="7" t="n">
        <v>76</v>
      </c>
      <c r="G66" s="8" t="n">
        <v>1.24</v>
      </c>
      <c r="H66" s="4" t="s">
        <v>108</v>
      </c>
      <c r="I66" s="14" t="s">
        <v>109</v>
      </c>
      <c r="J66" s="10"/>
    </row>
    <row r="67" customFormat="false" ht="15" hidden="false" customHeight="false" outlineLevel="0" collapsed="false">
      <c r="A67" s="4" t="s">
        <v>114</v>
      </c>
      <c r="B67" s="4" t="s">
        <v>22</v>
      </c>
      <c r="C67" s="4" t="s">
        <v>26</v>
      </c>
      <c r="D67" s="5" t="n">
        <v>39.22</v>
      </c>
      <c r="E67" s="6" t="n">
        <v>46233</v>
      </c>
      <c r="F67" s="7" t="n">
        <v>49</v>
      </c>
      <c r="G67" s="8" t="n">
        <v>0.31</v>
      </c>
      <c r="H67" s="4" t="s">
        <v>27</v>
      </c>
      <c r="I67" s="14" t="s">
        <v>109</v>
      </c>
      <c r="J67" s="10"/>
    </row>
    <row r="68" customFormat="false" ht="15" hidden="false" customHeight="false" outlineLevel="0" collapsed="false">
      <c r="A68" s="4" t="s">
        <v>115</v>
      </c>
      <c r="B68" s="4" t="s">
        <v>22</v>
      </c>
      <c r="C68" s="4" t="s">
        <v>26</v>
      </c>
      <c r="D68" s="5" t="n">
        <v>26.31</v>
      </c>
      <c r="E68" s="6" t="n">
        <v>46233</v>
      </c>
      <c r="F68" s="7" t="n">
        <v>50</v>
      </c>
      <c r="G68" s="8" t="n">
        <v>0.29</v>
      </c>
      <c r="H68" s="4" t="s">
        <v>27</v>
      </c>
      <c r="I68" s="14" t="s">
        <v>109</v>
      </c>
      <c r="J68" s="10"/>
    </row>
    <row r="69" customFormat="false" ht="15" hidden="false" customHeight="false" outlineLevel="0" collapsed="false">
      <c r="A69" s="4" t="s">
        <v>116</v>
      </c>
      <c r="B69" s="4" t="s">
        <v>22</v>
      </c>
      <c r="C69" s="4" t="s">
        <v>26</v>
      </c>
      <c r="D69" s="5" t="n">
        <v>11.82</v>
      </c>
      <c r="E69" s="6" t="n">
        <v>46233</v>
      </c>
      <c r="F69" s="7" t="n">
        <v>23</v>
      </c>
      <c r="G69" s="8" t="n">
        <v>0.39</v>
      </c>
      <c r="H69" s="4" t="s">
        <v>27</v>
      </c>
      <c r="I69" s="14" t="s">
        <v>109</v>
      </c>
      <c r="J69" s="10"/>
    </row>
    <row r="70" customFormat="false" ht="15" hidden="false" customHeight="false" outlineLevel="0" collapsed="false">
      <c r="A70" s="4" t="s">
        <v>117</v>
      </c>
      <c r="B70" s="4" t="s">
        <v>22</v>
      </c>
      <c r="C70" s="4" t="s">
        <v>26</v>
      </c>
      <c r="D70" s="5" t="n">
        <v>29.6</v>
      </c>
      <c r="E70" s="6" t="n">
        <v>46245</v>
      </c>
      <c r="F70" s="7" t="n">
        <v>23</v>
      </c>
      <c r="G70" s="8" t="n">
        <v>1.17</v>
      </c>
      <c r="H70" s="4" t="s">
        <v>118</v>
      </c>
      <c r="I70" s="14" t="s">
        <v>109</v>
      </c>
      <c r="J70" s="10"/>
    </row>
    <row r="71" customFormat="false" ht="15" hidden="false" customHeight="false" outlineLevel="0" collapsed="false">
      <c r="A71" s="4" t="s">
        <v>119</v>
      </c>
      <c r="B71" s="4" t="s">
        <v>113</v>
      </c>
      <c r="C71" s="4" t="s">
        <v>26</v>
      </c>
      <c r="D71" s="5" t="n">
        <v>16</v>
      </c>
      <c r="E71" s="6" t="n">
        <v>46257</v>
      </c>
      <c r="F71" s="7" t="n">
        <v>54</v>
      </c>
      <c r="G71" s="8" t="n">
        <v>0.29</v>
      </c>
      <c r="H71" s="4" t="s">
        <v>108</v>
      </c>
      <c r="I71" s="14" t="s">
        <v>109</v>
      </c>
      <c r="J71" s="10"/>
    </row>
    <row r="72" customFormat="false" ht="15" hidden="false" customHeight="false" outlineLevel="0" collapsed="false">
      <c r="A72" s="4" t="s">
        <v>120</v>
      </c>
      <c r="B72" s="4" t="s">
        <v>22</v>
      </c>
      <c r="C72" s="4" t="s">
        <v>37</v>
      </c>
      <c r="D72" s="5" t="n">
        <v>447.81</v>
      </c>
      <c r="E72" s="6" t="n">
        <v>46245</v>
      </c>
      <c r="F72" s="7" t="n">
        <v>6</v>
      </c>
      <c r="G72" s="8" t="n">
        <v>2.81</v>
      </c>
      <c r="H72" s="4" t="s">
        <v>118</v>
      </c>
      <c r="I72" s="14" t="s">
        <v>109</v>
      </c>
      <c r="J72" s="10"/>
    </row>
    <row r="73" customFormat="false" ht="15" hidden="false" customHeight="false" outlineLevel="0" collapsed="false">
      <c r="A73" s="4" t="s">
        <v>121</v>
      </c>
      <c r="B73" s="4" t="s">
        <v>22</v>
      </c>
      <c r="C73" s="4" t="s">
        <v>37</v>
      </c>
      <c r="D73" s="5" t="n">
        <v>50.85</v>
      </c>
      <c r="E73" s="6" t="n">
        <v>46245</v>
      </c>
      <c r="F73" s="7" t="n">
        <v>9</v>
      </c>
      <c r="G73" s="8" t="n">
        <v>0.7</v>
      </c>
      <c r="H73" s="4" t="s">
        <v>118</v>
      </c>
      <c r="I73" s="14" t="s">
        <v>109</v>
      </c>
      <c r="J73" s="10"/>
    </row>
    <row r="74" customFormat="false" ht="15" hidden="false" customHeight="false" outlineLevel="0" collapsed="false">
      <c r="A74" s="4" t="s">
        <v>122</v>
      </c>
      <c r="B74" s="4" t="s">
        <v>22</v>
      </c>
      <c r="C74" s="4" t="s">
        <v>37</v>
      </c>
      <c r="D74" s="5" t="n">
        <v>462.74</v>
      </c>
      <c r="E74" s="6" t="n">
        <v>46245</v>
      </c>
      <c r="F74" s="7" t="n">
        <v>10</v>
      </c>
      <c r="G74" s="8" t="n">
        <v>1.74</v>
      </c>
      <c r="H74" s="4" t="s">
        <v>118</v>
      </c>
      <c r="I74" s="14" t="s">
        <v>109</v>
      </c>
      <c r="J74" s="10"/>
    </row>
    <row r="75" customFormat="false" ht="15" hidden="false" customHeight="false" outlineLevel="0" collapsed="false">
      <c r="A75" s="4" t="s">
        <v>123</v>
      </c>
      <c r="B75" s="4" t="s">
        <v>22</v>
      </c>
      <c r="C75" s="4" t="s">
        <v>69</v>
      </c>
      <c r="D75" s="5" t="n">
        <v>200</v>
      </c>
      <c r="E75" s="6" t="n">
        <v>46257</v>
      </c>
      <c r="F75" s="7" t="n">
        <v>14</v>
      </c>
      <c r="G75" s="8" t="n">
        <v>0.21</v>
      </c>
      <c r="H75" s="4" t="s">
        <v>124</v>
      </c>
      <c r="I75" s="14" t="s">
        <v>109</v>
      </c>
      <c r="J75" s="10"/>
    </row>
    <row r="76" customFormat="false" ht="15" hidden="false" customHeight="false" outlineLevel="0" collapsed="false">
      <c r="A76" s="4" t="s">
        <v>125</v>
      </c>
      <c r="B76" s="4" t="s">
        <v>22</v>
      </c>
      <c r="C76" s="4" t="s">
        <v>44</v>
      </c>
      <c r="D76" s="5" t="n">
        <v>11.88</v>
      </c>
      <c r="E76" s="6" t="n">
        <v>46245</v>
      </c>
      <c r="F76" s="7" t="n">
        <v>21</v>
      </c>
      <c r="G76" s="8" t="n">
        <v>0.3</v>
      </c>
      <c r="H76" s="4" t="s">
        <v>126</v>
      </c>
      <c r="I76" s="14" t="s">
        <v>109</v>
      </c>
      <c r="J76" s="10"/>
    </row>
    <row r="77" customFormat="false" ht="15" hidden="false" customHeight="false" outlineLevel="0" collapsed="false">
      <c r="A77" s="4" t="s">
        <v>127</v>
      </c>
      <c r="B77" s="4" t="s">
        <v>24</v>
      </c>
      <c r="C77" s="4" t="s">
        <v>107</v>
      </c>
      <c r="D77" s="5" t="n">
        <v>135</v>
      </c>
      <c r="E77" s="6" t="n">
        <v>46257</v>
      </c>
      <c r="F77" s="7" t="n">
        <v>58</v>
      </c>
      <c r="G77" s="8" t="n">
        <v>0.3</v>
      </c>
      <c r="H77" s="4" t="s">
        <v>108</v>
      </c>
      <c r="I77" s="14" t="s">
        <v>109</v>
      </c>
      <c r="J77" s="10"/>
    </row>
    <row r="78" customFormat="false" ht="15" hidden="false" customHeight="false" outlineLevel="0" collapsed="false">
      <c r="A78" s="4" t="s">
        <v>128</v>
      </c>
      <c r="B78" s="4" t="s">
        <v>22</v>
      </c>
      <c r="C78" s="4" t="s">
        <v>129</v>
      </c>
      <c r="D78" s="5" t="n">
        <v>38</v>
      </c>
      <c r="E78" s="6" t="n">
        <v>46257</v>
      </c>
      <c r="F78" s="7" t="n">
        <v>253</v>
      </c>
      <c r="G78" s="8" t="n">
        <v>0.08</v>
      </c>
      <c r="H78" s="4" t="s">
        <v>108</v>
      </c>
      <c r="I78" s="14" t="s">
        <v>109</v>
      </c>
      <c r="J78" s="10"/>
    </row>
    <row r="80" customFormat="false" ht="15" hidden="false" customHeight="false" outlineLevel="0" collapsed="false">
      <c r="A80" s="15" t="s">
        <v>130</v>
      </c>
      <c r="J80" s="16" t="n">
        <v>42.5</v>
      </c>
    </row>
  </sheetData>
  <autoFilter ref="A5:J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3" customFormat="false" ht="15" hidden="false" customHeight="false" outlineLevel="0" collapsed="false">
      <c r="A3" s="2" t="s">
        <v>133</v>
      </c>
    </row>
    <row r="5" customFormat="false" ht="30" hidden="false" customHeight="true" outlineLevel="0" collapsed="false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139</v>
      </c>
    </row>
    <row r="6" customFormat="false" ht="15" hidden="false" customHeight="false" outlineLevel="0" collapsed="false">
      <c r="A6" s="4" t="s">
        <v>140</v>
      </c>
      <c r="B6" s="4"/>
      <c r="C6" s="5"/>
      <c r="D6" s="5" t="n">
        <v>25</v>
      </c>
      <c r="E6" s="4"/>
      <c r="F6" s="10"/>
    </row>
    <row r="7" customFormat="false" ht="15" hidden="false" customHeight="false" outlineLevel="0" collapsed="false">
      <c r="A7" s="4" t="s">
        <v>141</v>
      </c>
      <c r="B7" s="4" t="s">
        <v>142</v>
      </c>
      <c r="C7" s="5" t="n">
        <v>80</v>
      </c>
      <c r="D7" s="5" t="n">
        <v>38</v>
      </c>
      <c r="E7" s="8" t="n">
        <f aca="false">IFERROR(D7/C7-1,"")</f>
        <v>-0.525</v>
      </c>
      <c r="F7" s="10"/>
    </row>
    <row r="8" customFormat="false" ht="15" hidden="false" customHeight="false" outlineLevel="0" collapsed="false">
      <c r="A8" s="4" t="s">
        <v>143</v>
      </c>
      <c r="B8" s="4" t="s">
        <v>142</v>
      </c>
      <c r="C8" s="5" t="n">
        <v>60</v>
      </c>
      <c r="D8" s="5"/>
      <c r="E8" s="4"/>
      <c r="F8" s="10"/>
    </row>
    <row r="9" customFormat="false" ht="15" hidden="false" customHeight="false" outlineLevel="0" collapsed="false">
      <c r="A9" s="4" t="s">
        <v>144</v>
      </c>
      <c r="B9" s="4" t="s">
        <v>145</v>
      </c>
      <c r="C9" s="5"/>
      <c r="D9" s="5"/>
      <c r="E9" s="4"/>
      <c r="F9" s="10"/>
    </row>
    <row r="10" customFormat="false" ht="15" hidden="false" customHeight="false" outlineLevel="0" collapsed="false">
      <c r="A10" s="4" t="s">
        <v>146</v>
      </c>
      <c r="B10" s="4"/>
      <c r="C10" s="5"/>
      <c r="D10" s="5" t="n">
        <v>25</v>
      </c>
      <c r="E10" s="4"/>
      <c r="F10" s="10"/>
    </row>
    <row r="11" customFormat="false" ht="15" hidden="false" customHeight="false" outlineLevel="0" collapsed="false">
      <c r="A11" s="4" t="s">
        <v>147</v>
      </c>
      <c r="B11" s="4"/>
      <c r="C11" s="5"/>
      <c r="D11" s="5" t="n">
        <v>1000</v>
      </c>
      <c r="E11" s="4"/>
      <c r="F11" s="10"/>
    </row>
    <row r="12" customFormat="false" ht="15" hidden="false" customHeight="false" outlineLevel="0" collapsed="false">
      <c r="A12" s="4" t="s">
        <v>148</v>
      </c>
      <c r="B12" s="4" t="s">
        <v>149</v>
      </c>
      <c r="C12" s="5" t="n">
        <v>2000</v>
      </c>
      <c r="D12" s="5"/>
      <c r="E12" s="4"/>
      <c r="F12" s="10"/>
    </row>
    <row r="13" customFormat="false" ht="15" hidden="false" customHeight="false" outlineLevel="0" collapsed="false">
      <c r="A13" s="4" t="s">
        <v>150</v>
      </c>
      <c r="B13" s="4" t="s">
        <v>149</v>
      </c>
      <c r="C13" s="5" t="n">
        <v>5000</v>
      </c>
      <c r="D13" s="5"/>
      <c r="E13" s="4"/>
      <c r="F13" s="10"/>
    </row>
    <row r="14" customFormat="false" ht="15" hidden="false" customHeight="false" outlineLevel="0" collapsed="false">
      <c r="A14" s="4" t="s">
        <v>151</v>
      </c>
      <c r="B14" s="4"/>
      <c r="C14" s="5"/>
      <c r="D14" s="5" t="n">
        <v>150</v>
      </c>
      <c r="E14" s="4"/>
      <c r="F14" s="10"/>
    </row>
    <row r="15" customFormat="false" ht="15" hidden="false" customHeight="false" outlineLevel="0" collapsed="false">
      <c r="A15" s="4" t="s">
        <v>152</v>
      </c>
      <c r="B15" s="4" t="s">
        <v>142</v>
      </c>
      <c r="C15" s="5" t="n">
        <v>1000</v>
      </c>
      <c r="D15" s="5"/>
      <c r="E15" s="4"/>
      <c r="F15" s="10"/>
    </row>
    <row r="16" customFormat="false" ht="15" hidden="false" customHeight="false" outlineLevel="0" collapsed="false">
      <c r="A16" s="4" t="s">
        <v>153</v>
      </c>
      <c r="B16" s="4" t="s">
        <v>154</v>
      </c>
      <c r="C16" s="5" t="n">
        <v>250</v>
      </c>
      <c r="D16" s="5"/>
      <c r="E16" s="4"/>
      <c r="F16" s="10"/>
    </row>
    <row r="17" customFormat="false" ht="15" hidden="false" customHeight="false" outlineLevel="0" collapsed="false">
      <c r="A17" s="4" t="s">
        <v>155</v>
      </c>
      <c r="B17" s="4" t="s">
        <v>154</v>
      </c>
      <c r="C17" s="5" t="n">
        <v>130</v>
      </c>
      <c r="D17" s="5" t="n">
        <v>59</v>
      </c>
      <c r="E17" s="8" t="n">
        <f aca="false">IFERROR(D17/C17-1,"")</f>
        <v>-0.546153846153846</v>
      </c>
      <c r="F17" s="10"/>
    </row>
    <row r="18" customFormat="false" ht="15" hidden="false" customHeight="false" outlineLevel="0" collapsed="false">
      <c r="A18" s="4" t="s">
        <v>156</v>
      </c>
      <c r="B18" s="4" t="s">
        <v>157</v>
      </c>
      <c r="C18" s="5" t="n">
        <v>120</v>
      </c>
      <c r="D18" s="5" t="n">
        <v>59</v>
      </c>
      <c r="E18" s="8" t="n">
        <f aca="false">IFERROR(D18/C18-1,"")</f>
        <v>-0.508333333333333</v>
      </c>
      <c r="F18" s="10"/>
    </row>
    <row r="19" customFormat="false" ht="15" hidden="false" customHeight="false" outlineLevel="0" collapsed="false">
      <c r="A19" s="4" t="s">
        <v>158</v>
      </c>
      <c r="B19" s="4" t="s">
        <v>159</v>
      </c>
      <c r="C19" s="5" t="n">
        <v>1000</v>
      </c>
      <c r="D19" s="5" t="n">
        <v>880</v>
      </c>
      <c r="E19" s="8" t="n">
        <f aca="false">IFERROR(D19/C19-1,"")</f>
        <v>-0.12</v>
      </c>
      <c r="F19" s="10"/>
    </row>
    <row r="20" customFormat="false" ht="15" hidden="false" customHeight="false" outlineLevel="0" collapsed="false">
      <c r="A20" s="4" t="s">
        <v>160</v>
      </c>
      <c r="B20" s="4" t="s">
        <v>142</v>
      </c>
      <c r="C20" s="5" t="n">
        <v>100</v>
      </c>
      <c r="D20" s="5" t="n">
        <v>115</v>
      </c>
      <c r="E20" s="8" t="n">
        <f aca="false">IFERROR(D20/C20-1,"")</f>
        <v>0.15</v>
      </c>
      <c r="F20" s="10"/>
    </row>
    <row r="21" customFormat="false" ht="15" hidden="false" customHeight="false" outlineLevel="0" collapsed="false">
      <c r="A21" s="4" t="s">
        <v>161</v>
      </c>
      <c r="B21" s="4"/>
      <c r="C21" s="5"/>
      <c r="D21" s="5"/>
      <c r="E21" s="4"/>
      <c r="F21" s="10"/>
    </row>
    <row r="22" customFormat="false" ht="15" hidden="false" customHeight="false" outlineLevel="0" collapsed="false">
      <c r="A22" s="4" t="s">
        <v>162</v>
      </c>
      <c r="B22" s="4" t="s">
        <v>149</v>
      </c>
      <c r="C22" s="5" t="n">
        <v>8000</v>
      </c>
      <c r="D22" s="5"/>
      <c r="E22" s="4"/>
      <c r="F22" s="10"/>
    </row>
    <row r="24" customFormat="false" ht="15" hidden="false" customHeight="false" outlineLevel="0" collapsed="false">
      <c r="A24" s="15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</cols>
  <sheetData>
    <row r="1" customFormat="false" ht="16.1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17" t="s">
        <v>11</v>
      </c>
      <c r="B4" s="17" t="s">
        <v>166</v>
      </c>
      <c r="C4" s="17" t="s">
        <v>167</v>
      </c>
    </row>
    <row r="5" customFormat="false" ht="15" hidden="false" customHeight="false" outlineLevel="0" collapsed="false">
      <c r="A5" s="18" t="s">
        <v>109</v>
      </c>
      <c r="B5" s="7" t="n">
        <f aca="false">COUNTIF(Materiais!$I$6:$I$78,$A5)</f>
        <v>16</v>
      </c>
      <c r="C5" s="19" t="n">
        <f aca="false">IFERROR(B5/$B$10,0)</f>
        <v>0.219178082191781</v>
      </c>
    </row>
    <row r="6" customFormat="false" ht="15" hidden="false" customHeight="false" outlineLevel="0" collapsed="false">
      <c r="A6" s="20" t="s">
        <v>79</v>
      </c>
      <c r="B6" s="7" t="n">
        <f aca="false">COUNTIF(Materiais!$I$6:$I$78,$A6)</f>
        <v>20</v>
      </c>
      <c r="C6" s="19" t="n">
        <f aca="false">IFERROR(B6/$B$10,0)</f>
        <v>0.273972602739726</v>
      </c>
    </row>
    <row r="7" customFormat="false" ht="15" hidden="false" customHeight="false" outlineLevel="0" collapsed="false">
      <c r="A7" s="21" t="s">
        <v>54</v>
      </c>
      <c r="B7" s="7" t="n">
        <f aca="false">COUNTIF(Materiais!$I$6:$I$78,$A7)</f>
        <v>16</v>
      </c>
      <c r="C7" s="19" t="n">
        <f aca="false">IFERROR(B7/$B$10,0)</f>
        <v>0.219178082191781</v>
      </c>
    </row>
    <row r="8" customFormat="false" ht="15" hidden="false" customHeight="false" outlineLevel="0" collapsed="false">
      <c r="A8" s="22" t="s">
        <v>28</v>
      </c>
      <c r="B8" s="7" t="n">
        <f aca="false">COUNTIF(Materiais!$I$6:$I$78,$A8)</f>
        <v>14</v>
      </c>
      <c r="C8" s="19" t="n">
        <f aca="false">IFERROR(B8/$B$10,0)</f>
        <v>0.191780821917808</v>
      </c>
    </row>
    <row r="9" customFormat="false" ht="15" hidden="false" customHeight="false" outlineLevel="0" collapsed="false">
      <c r="A9" s="23" t="s">
        <v>14</v>
      </c>
      <c r="B9" s="7" t="n">
        <f aca="false">COUNTIF(Materiais!$I$6:$I$78,$A9)</f>
        <v>7</v>
      </c>
      <c r="C9" s="19" t="n">
        <f aca="false">IFERROR(B9/$B$10,0)</f>
        <v>0.0958904109589041</v>
      </c>
    </row>
    <row r="10" customFormat="false" ht="15" hidden="false" customHeight="false" outlineLevel="0" collapsed="false">
      <c r="A10" s="24" t="s">
        <v>168</v>
      </c>
      <c r="B10" s="25" t="n">
        <f aca="false">SUM(B5:B9)</f>
        <v>73</v>
      </c>
      <c r="C10" s="26" t="n">
        <f aca="false">IFERROR(B10/B10,0)</f>
        <v>1</v>
      </c>
    </row>
    <row r="12" customFormat="false" ht="15" hidden="false" customHeight="false" outlineLevel="0" collapsed="false">
      <c r="A12" s="27" t="s">
        <v>169</v>
      </c>
      <c r="B12" s="28" t="n">
        <f aca="false">B5+B6</f>
        <v>36</v>
      </c>
    </row>
    <row r="13" customFormat="false" ht="15" hidden="false" customHeight="false" outlineLevel="0" collapsed="false">
      <c r="A13" s="27" t="s">
        <v>170</v>
      </c>
      <c r="B13" s="28" t="n">
        <f aca="false">B8+B9</f>
        <v>21</v>
      </c>
    </row>
    <row r="15" customFormat="false" ht="15" hidden="false" customHeight="false" outlineLevel="0" collapsed="false">
      <c r="A15" s="2" t="s">
        <v>171</v>
      </c>
    </row>
    <row r="16" customFormat="false" ht="15" hidden="false" customHeight="false" outlineLevel="0" collapsed="false">
      <c r="A16" s="2" t="s">
        <v>172</v>
      </c>
    </row>
    <row r="17" customFormat="false" ht="15" hidden="false" customHeight="false" outlineLevel="0" collapsed="false">
      <c r="A17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2026-09-05T20:46:33Z</dcterms:created>
  <dc:creator>openpyxl</dc:creator>
  <dc:description/>
  <dc:language>en-US</dc:language>
  <cp:lastModifiedBy/>
  <dcterms:modified xsi:type="dcterms:W3CDTF">2026-09-05T20:46:33Z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