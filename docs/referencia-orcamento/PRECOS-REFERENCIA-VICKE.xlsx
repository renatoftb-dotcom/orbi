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os" sheetId="1" state="visible" r:id="rId3"/>
    <sheet name="Prestadores" sheetId="2" state="visible" r:id="rId4"/>
    <sheet name="Metodo" sheetId="3" state="visible" r:id="rId5"/>
  </sheets>
  <definedNames>
    <definedName function="false" hidden="true" localSheetId="0" name="_xlnm._FilterDatabase" vbProcedure="false">Precos!$A$5:$J$99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<sst xmlns="http://schemas.openxmlformats.org/spreadsheetml/2006/main" count="397" uniqueCount="207">
  <si>
    <t xml:space="preserve">PREÇOS DE REFERÊNCIA — 94 INSUMOS DO MOTOR DE QUANTITATIVOS</t>
  </si>
  <si>
    <t xml:space="preserve">Todo insumo que o cálculo de quantitativo gera tem preço. Origem: base própria do escritório (9.764 lançamentos, out/2022–ago/2026) quando existe; referência de mercado SP quando não existe.</t>
  </si>
  <si>
    <t xml:space="preserve">Compras com 12 meses ou mais foram corrigidas pelo INCC até set/2026 — a coluna "Fator INCC" mostra a correção. Preencha "Preço adotado" (azul) para sobrescrever. Veja a aba Metodo.</t>
  </si>
  <si>
    <t xml:space="preserve">Item</t>
  </si>
  <si>
    <t xml:space="preserve">Unidade</t>
  </si>
  <si>
    <t xml:space="preserve">Preço referência</t>
  </si>
  <si>
    <t xml:space="preserve">Fonte</t>
  </si>
  <si>
    <t xml:space="preserve">Preço original</t>
  </si>
  <si>
    <t xml:space="preserve">Data da compra</t>
  </si>
  <si>
    <t xml:space="preserve">Fator INCC</t>
  </si>
  <si>
    <t xml:space="preserve">Nº compras</t>
  </si>
  <si>
    <t xml:space="preserve">Item na base / observação</t>
  </si>
  <si>
    <t xml:space="preserve">Preço adotado</t>
  </si>
  <si>
    <t xml:space="preserve">Cumeeira Telha Metálica Simples</t>
  </si>
  <si>
    <t xml:space="preserve">Mts</t>
  </si>
  <si>
    <t xml:space="preserve">Referência de mercado</t>
  </si>
  <si>
    <t xml:space="preserve">Referência de mercado 2026 — qtd em metros</t>
  </si>
  <si>
    <t xml:space="preserve">Cumeeira Telha Metálica Termoacústica</t>
  </si>
  <si>
    <t xml:space="preserve">Referência de mercado 2026 — no motor a qtd sai em metros (área da cumeeira = 1)</t>
  </si>
  <si>
    <t xml:space="preserve">Laje Pré Moldada Protendida Forro</t>
  </si>
  <si>
    <t xml:space="preserve">m2</t>
  </si>
  <si>
    <t xml:space="preserve">Referência de mercado 2026; base só tem a versão Piso (R$92, mar/23)</t>
  </si>
  <si>
    <t xml:space="preserve">Telha Americana Concreto</t>
  </si>
  <si>
    <t xml:space="preserve">Unidades</t>
  </si>
  <si>
    <t xml:space="preserve">Referência de mercado 2026 (telha de concreto tipo americana, por peça)</t>
  </si>
  <si>
    <t xml:space="preserve">Telha Metálica Simples</t>
  </si>
  <si>
    <t xml:space="preserve">Referência de mercado 2026 (telha simples ~0,5mm)</t>
  </si>
  <si>
    <t xml:space="preserve">Telhado - Pingadeira</t>
  </si>
  <si>
    <t xml:space="preserve">Referência de mercado 2026 (rufo pingadeira galvanizado)</t>
  </si>
  <si>
    <t xml:space="preserve">Telhado - Rufo</t>
  </si>
  <si>
    <t xml:space="preserve">Referência de mercado 2026 (rufo galvanizado, Leroy/Telhanorte)</t>
  </si>
  <si>
    <t xml:space="preserve">Laje Pré Moldada Protendida Piso</t>
  </si>
  <si>
    <t xml:space="preserve">Cotação interna</t>
  </si>
  <si>
    <t xml:space="preserve">Linha marcada COTAÇÃO na base</t>
  </si>
  <si>
    <t xml:space="preserve">Madeira Caixaria - Madeirite Plastif. Preto 2,10x1,10mts 18mm</t>
  </si>
  <si>
    <t xml:space="preserve">Água</t>
  </si>
  <si>
    <t xml:space="preserve">m3</t>
  </si>
  <si>
    <t xml:space="preserve">Aço - Barras de CA50 12.5mm 12mts</t>
  </si>
  <si>
    <t xml:space="preserve">Compra corrigida (INCC)</t>
  </si>
  <si>
    <t xml:space="preserve">Aço - Barras de CA50 16mm 12mts</t>
  </si>
  <si>
    <t xml:space="preserve">Aço - Barras de CA50 4.2mm 12mts</t>
  </si>
  <si>
    <t xml:space="preserve">Aço - Barras de CA50 5.0mm 12mts</t>
  </si>
  <si>
    <t xml:space="preserve">Aço - Barras de CA50 6.3mm 12mts</t>
  </si>
  <si>
    <t xml:space="preserve">Aço - Barras de CA60 4.2mm 12mts</t>
  </si>
  <si>
    <t xml:space="preserve">Aço - Malha Pop EQ061 3.4mm 15x15</t>
  </si>
  <si>
    <t xml:space="preserve">Aço - Malha pop EQ092 4.2mm 15x15</t>
  </si>
  <si>
    <t xml:space="preserve">Aço - Pregos 20x42</t>
  </si>
  <si>
    <t xml:space="preserve">Cerâmicas - Tijolo - Bloco 8 Furos</t>
  </si>
  <si>
    <t xml:space="preserve">Concreto - Bomba</t>
  </si>
  <si>
    <t xml:space="preserve">Concreto - FCK20</t>
  </si>
  <si>
    <t xml:space="preserve">Concreto - FCK25</t>
  </si>
  <si>
    <t xml:space="preserve">Concreto - FCK30</t>
  </si>
  <si>
    <t xml:space="preserve">Cumeeira Telha Americana Concreto</t>
  </si>
  <si>
    <t xml:space="preserve">Proxy</t>
  </si>
  <si>
    <t xml:space="preserve">Cumeeira Telha Barro Americana</t>
  </si>
  <si>
    <t xml:space="preserve">Cumeeira Telha Barro Portuguesa</t>
  </si>
  <si>
    <t xml:space="preserve">Telhado - Cumeeira Portuguesa Natural</t>
  </si>
  <si>
    <t xml:space="preserve">Cumeeira Telha Fibrocimento 6mm</t>
  </si>
  <si>
    <t xml:space="preserve">Cumeeira Telha Fibrocimento 8mm</t>
  </si>
  <si>
    <t xml:space="preserve">Cumeeira Telha Plana Concreto</t>
  </si>
  <si>
    <t xml:space="preserve">Disco Ferro</t>
  </si>
  <si>
    <t xml:space="preserve">Disco Serra Circular</t>
  </si>
  <si>
    <t xml:space="preserve">Elétrica - Poste Padrão - Trifásica C3</t>
  </si>
  <si>
    <t xml:space="preserve">Ferramentas - Carrinho Pedreiro</t>
  </si>
  <si>
    <t xml:space="preserve">Ferramentas - Cavadeira</t>
  </si>
  <si>
    <t xml:space="preserve">Ferramentas - Linha de pedreiro</t>
  </si>
  <si>
    <t xml:space="preserve">Ferramentas - Luva Mucambo</t>
  </si>
  <si>
    <t xml:space="preserve">Ferramentas - Mangueira de Nível</t>
  </si>
  <si>
    <t xml:space="preserve">Ferramentas - Torquesa Ferragem</t>
  </si>
  <si>
    <t xml:space="preserve">Impermeabilizantes - Tela Poliester 50mts</t>
  </si>
  <si>
    <t xml:space="preserve">Impermeabilizantes - Vedalit 18L</t>
  </si>
  <si>
    <t xml:space="preserve">Impermeabilizantes - Vedatop Flexível 18KG</t>
  </si>
  <si>
    <t xml:space="preserve">Laje Pré Moldada Treliça Forro</t>
  </si>
  <si>
    <t xml:space="preserve">Laje Pré Moldada Treliça Piso</t>
  </si>
  <si>
    <t xml:space="preserve">Locação Ferramentas - Escoras</t>
  </si>
  <si>
    <t xml:space="preserve">Madeira Caixaria - Sarrafos de 05cm x 3mts</t>
  </si>
  <si>
    <t xml:space="preserve">Madeira Caixaria - Tábuas de 20cm x 3mts</t>
  </si>
  <si>
    <t xml:space="preserve">Madeira Caixaria - Tábuas de 25cm x 3mts</t>
  </si>
  <si>
    <t xml:space="preserve">Madeira Caixaria - Tábuas de 30cm x 3mts</t>
  </si>
  <si>
    <t xml:space="preserve">Manta dupla face</t>
  </si>
  <si>
    <t xml:space="preserve">Mesmo produto, nome da base</t>
  </si>
  <si>
    <t xml:space="preserve">Maquinário - Perfuração</t>
  </si>
  <si>
    <t xml:space="preserve">Revestimento</t>
  </si>
  <si>
    <t xml:space="preserve">Item vem do módulo de piscina</t>
  </si>
  <si>
    <t xml:space="preserve">Telha Barro Americana</t>
  </si>
  <si>
    <t xml:space="preserve">Proxy: única americana comprada</t>
  </si>
  <si>
    <t xml:space="preserve">Telha Barro Portuguesa</t>
  </si>
  <si>
    <t xml:space="preserve">Compra real, preço por peça</t>
  </si>
  <si>
    <t xml:space="preserve">Telha Fibrocimento 6mm</t>
  </si>
  <si>
    <t xml:space="preserve">Chapa 2,44x1,10 = 2,684 m² → convertido para R$/m²</t>
  </si>
  <si>
    <t xml:space="preserve">Telha Fibrocimento 8mm</t>
  </si>
  <si>
    <t xml:space="preserve">Telha Plana Concreto</t>
  </si>
  <si>
    <t xml:space="preserve">Telhado - Estrutura - Eucalipto S/ Tratar - Caibros 5x5</t>
  </si>
  <si>
    <t xml:space="preserve">Telhado - Estrutura - Eucalipto S/ Tratar - Ripas 2,5x5</t>
  </si>
  <si>
    <t xml:space="preserve">Telhado - Estrutura - Eucalipto S/ Tratar - Ripas 2,5x5 </t>
  </si>
  <si>
    <t xml:space="preserve">Telhado - Estrutura - Eucalipto S/ Tratar - Vigas 5x15</t>
  </si>
  <si>
    <t xml:space="preserve">Telhado - Estrutura - Eucalipto S/ Tratar - Vigas 5x20</t>
  </si>
  <si>
    <t xml:space="preserve">Tintas - Fundo Preparador 18L</t>
  </si>
  <si>
    <t xml:space="preserve">Tintas - Massa Corrida 25KG</t>
  </si>
  <si>
    <t xml:space="preserve">Tintas - Massa corrida 25KG</t>
  </si>
  <si>
    <t xml:space="preserve">Tintas - Selador 18L</t>
  </si>
  <si>
    <t xml:space="preserve">Tintas - Tintas 18L</t>
  </si>
  <si>
    <t xml:space="preserve">Linha que o escritório mais compra (39 compras)</t>
  </si>
  <si>
    <t xml:space="preserve">Areia Fina</t>
  </si>
  <si>
    <t xml:space="preserve">Compra recente</t>
  </si>
  <si>
    <t xml:space="preserve">Areia Grossa</t>
  </si>
  <si>
    <t xml:space="preserve">Argamassa AC 3 GF - 20kg</t>
  </si>
  <si>
    <t xml:space="preserve">Aço - Arame Recozido</t>
  </si>
  <si>
    <t xml:space="preserve">Kg</t>
  </si>
  <si>
    <t xml:space="preserve">Aço - Barras de CA50 10.0mm 12mts</t>
  </si>
  <si>
    <t xml:space="preserve">Aço - Barras de CA50 8.0mm 12mts</t>
  </si>
  <si>
    <t xml:space="preserve">Aço - Barras de CA60 5.0mm 12mts</t>
  </si>
  <si>
    <t xml:space="preserve">Aço - Pregos 17x21</t>
  </si>
  <si>
    <t xml:space="preserve">Aço - Pregos 18x27</t>
  </si>
  <si>
    <t xml:space="preserve">Aço - Treliça H8 Barras 12mts</t>
  </si>
  <si>
    <t xml:space="preserve">Cerâmicas - Tijolo - Bloco  6 Furos</t>
  </si>
  <si>
    <t xml:space="preserve">Cerâmicas - Tijolo - Tijolinho Maciço</t>
  </si>
  <si>
    <t xml:space="preserve">Disco Porcelanato</t>
  </si>
  <si>
    <t xml:space="preserve">Ferramentas - Engate Rápido Mangueira Jardim</t>
  </si>
  <si>
    <t xml:space="preserve">Ferramentas - Furadeira Dewalt 1/2 DWD502-BR 710W</t>
  </si>
  <si>
    <t xml:space="preserve">Ferramentas - Lapis</t>
  </si>
  <si>
    <t xml:space="preserve">Ferramentas - Mangueira de Jardim</t>
  </si>
  <si>
    <t xml:space="preserve">Ferramentas - Pá de bico com cabo</t>
  </si>
  <si>
    <t xml:space="preserve">Ferramentas - Serra Circular Dewalt DWE560-B2</t>
  </si>
  <si>
    <t xml:space="preserve">Impermeabilizantes - Bianco 18KG</t>
  </si>
  <si>
    <t xml:space="preserve">Impermeabilizantes - Vedatop 18KG</t>
  </si>
  <si>
    <t xml:space="preserve">Locação Ferramentas -  Compactador</t>
  </si>
  <si>
    <t xml:space="preserve">Madeira Caixaria - Tábuas de 10cm x 3mts</t>
  </si>
  <si>
    <t xml:space="preserve">Metal - Hidráulica - Torneira Jardim</t>
  </si>
  <si>
    <t xml:space="preserve">Pedra</t>
  </si>
  <si>
    <t xml:space="preserve">Rejunte - 5kg</t>
  </si>
  <si>
    <t xml:space="preserve">Sacos de cimento 50kg</t>
  </si>
  <si>
    <t xml:space="preserve">Telha Metálica Termoacústica</t>
  </si>
  <si>
    <t xml:space="preserve">Compra real (a família 'Telha X' de mar/23 é tabela antiga)</t>
  </si>
  <si>
    <t xml:space="preserve">Telhado - Calha</t>
  </si>
  <si>
    <t xml:space="preserve">EXEMPLO — não editar esta linha</t>
  </si>
  <si>
    <t xml:space="preserve">PRESTADORES DE SERVIÇO — TAXA DE REFERÊNCIA</t>
  </si>
  <si>
    <t xml:space="preserve">Taxa VBA vem de PRESTADORES.frm (motor original). Cotação vem das 152 linhas marcadas COTAÇÃO na base — são as cotações atuais do escritório.</t>
  </si>
  <si>
    <t xml:space="preserve">Sugestão = cotação quando existe, senão a taxa do VBA. Célula vazia significa que não há nenhum dos dois. Preencha "Taxa adotada" (azul) para decidir.</t>
  </si>
  <si>
    <t xml:space="preserve">Serviço</t>
  </si>
  <si>
    <t xml:space="preserve">Base de cálculo</t>
  </si>
  <si>
    <t xml:space="preserve">Taxa VBA</t>
  </si>
  <si>
    <t xml:space="preserve">Cotação</t>
  </si>
  <si>
    <t xml:space="preserve">Diferença</t>
  </si>
  <si>
    <t xml:space="preserve">Sugestão</t>
  </si>
  <si>
    <t xml:space="preserve">Taxa adotada</t>
  </si>
  <si>
    <t xml:space="preserve">Carpinteiro</t>
  </si>
  <si>
    <t xml:space="preserve">m² construído</t>
  </si>
  <si>
    <t xml:space="preserve">Eletricista</t>
  </si>
  <si>
    <t xml:space="preserve">Encanador</t>
  </si>
  <si>
    <t xml:space="preserve">Gestão Obra</t>
  </si>
  <si>
    <t xml:space="preserve">m² construído (regressivo)</t>
  </si>
  <si>
    <t xml:space="preserve">Impermeabilizador</t>
  </si>
  <si>
    <t xml:space="preserve">Instalador AR</t>
  </si>
  <si>
    <t xml:space="preserve">unidade</t>
  </si>
  <si>
    <t xml:space="preserve">Instalador Aquecedores</t>
  </si>
  <si>
    <t xml:space="preserve">fixo</t>
  </si>
  <si>
    <t xml:space="preserve">Instalador Equip. Piscina</t>
  </si>
  <si>
    <t xml:space="preserve">Marceneiro Portas Internas</t>
  </si>
  <si>
    <t xml:space="preserve">Pedreiros Casa</t>
  </si>
  <si>
    <t xml:space="preserve">Pedreiros Muro Arrimo</t>
  </si>
  <si>
    <t xml:space="preserve">m² muro</t>
  </si>
  <si>
    <t xml:space="preserve">Pedreiros Muro Divisa</t>
  </si>
  <si>
    <t xml:space="preserve">Pedreiros Pavim. Externa</t>
  </si>
  <si>
    <t xml:space="preserve">m² pavimentação</t>
  </si>
  <si>
    <t xml:space="preserve">Pedreiros Piscina</t>
  </si>
  <si>
    <t xml:space="preserve">m² piscina</t>
  </si>
  <si>
    <t xml:space="preserve">Pintor</t>
  </si>
  <si>
    <t xml:space="preserve">Serralheiro</t>
  </si>
  <si>
    <t xml:space="preserve">Terraplanagem</t>
  </si>
  <si>
    <t xml:space="preserve">Gestão de obra é regressiva por área construída: &gt;450 m²→R$430 · 401-450→450 · &lt;401→470 · &lt;351→490 · &lt;301→510 · &lt;251→530 · &lt;201→550.</t>
  </si>
  <si>
    <t xml:space="preserve">Serralheiro e Gestão de Obra não têm nem taxa no VBA nem cotação na base — precisam da sua decisão.</t>
  </si>
  <si>
    <t xml:space="preserve">COMO ESTA LISTA FOI MONTADA</t>
  </si>
  <si>
    <t xml:space="preserve">Universo</t>
  </si>
  <si>
    <t xml:space="preserve">Os 94 insumos de material que o motor de quantitativos emite, incluindo os nomes montados em tempo de execução: 8 tipos de telha, 8 cumeeiras, 3 resistências de concreto e 4 modelos de laje. Prestadores ficam na aba própria.</t>
  </si>
  <si>
    <t xml:space="preserve">Fonte 1 — Compra recente</t>
  </si>
  <si>
    <t xml:space="preserve">Última compra com menos de 12 meses. Preço usado como está. 29 insumos.</t>
  </si>
  <si>
    <t xml:space="preserve">Fonte 2 — Compra corrigida</t>
  </si>
  <si>
    <t xml:space="preserve">Última compra com 12 meses ou mais, corrigida pelo INCC do período até set/2026. 55 insumos.</t>
  </si>
  <si>
    <t xml:space="preserve">Fonte 3 — Cotação interna</t>
  </si>
  <si>
    <t xml:space="preserve">Linhas marcadas COTAÇÃO na base (cliente = COTAÇÃO, data 08/03/2030 é marcador, não data). 3 insumos.</t>
  </si>
  <si>
    <t xml:space="preserve">Fonte 4 — Mercado</t>
  </si>
  <si>
    <t xml:space="preserve">Sem equivalente utilizável na base; referência de mercado SP 2026. 7 insumos.</t>
  </si>
  <si>
    <t xml:space="preserve">INCC aplicado</t>
  </si>
  <si>
    <t xml:space="preserve">Acumulado anual FGV: 2022 9,41% · 2023 3,34% · 2024 6,33% · 2025 6,09% · 2026 até agosto 5,59%. Distribuído linearmente dentro de cada ano para obter o fator mês a mês.</t>
  </si>
  <si>
    <t xml:space="preserve">Exemplo</t>
  </si>
  <si>
    <t xml:space="preserve">Um preço de dez/2023 é multiplicado por 1,1944. Um de mar/2023, por 1,2242.</t>
  </si>
  <si>
    <t xml:space="preserve">Conversão — fibrocimento</t>
  </si>
  <si>
    <t xml:space="preserve">O motor calcula a quantidade em m² (área da telha = 1 no código), mas a base tem preço por chapa. Chapa 2,44x1,10 = 2,684 m². Preço dividido por esse fator e unidade trocada para m².</t>
  </si>
  <si>
    <t xml:space="preserve">Conversão — metálica</t>
  </si>
  <si>
    <t xml:space="preserve">Quantidade também sai em m², e a compra real já é por m². Sem conversão.</t>
  </si>
  <si>
    <t xml:space="preserve">Conversão — barro/concreto</t>
  </si>
  <si>
    <t xml:space="preserve">Quantidade sai em peças (área da telha entre 0,058 e 0,095 m²). Preço por peça.</t>
  </si>
  <si>
    <t xml:space="preserve">Conversão — cumeeira metálica</t>
  </si>
  <si>
    <t xml:space="preserve">Quantidade sai em metros (área da cumeeira = 1 no código). Preço por metro.</t>
  </si>
  <si>
    <t xml:space="preserve">Telhas — decisão tomada</t>
  </si>
  <si>
    <t xml:space="preserve">A base tem duas famílias com o mesmo nome. A família 'Telha X', toda datada de 08/03/2023 com um registro cada, é tabela de referência antiga. A família 'Telhado - X' são compras reais. Adotei as compras reais.</t>
  </si>
  <si>
    <t xml:space="preserve">Proxies assumidos</t>
  </si>
  <si>
    <t xml:space="preserve">Telha Barro Americana usa a americana esmaltada, única comprada. Cumeeiras americana e plana usam a cumeeira porcelanato esmaltada. Todos marcados na coluna de observação.</t>
  </si>
  <si>
    <t xml:space="preserve">Tinta 18L</t>
  </si>
  <si>
    <t xml:space="preserve">O motor emite 'Tintas - Tintas 18L', genérico. Adotei a Acrílica Premium Toque de Seda (39 compras) em vez da de baixo padrão (3 compras), por ser o que o escritório de fato usa.</t>
  </si>
  <si>
    <t xml:space="preserve">Atualização automática</t>
  </si>
  <si>
    <t xml:space="preserve">Este arquivo é a semente. No VICKE, cada nota lançada numa obra atualiza o preço de referência do insumo — a regra está em docs/PRECOS-REFERENCIA.md.</t>
  </si>
  <si>
    <t xml:space="preserve">Fonte da base</t>
  </si>
  <si>
    <t xml:space="preserve">BASE DE DADOS GERAL.xlsm, aba Base_Dados_Geral: 9.764 lançamentos, 966 itens distintos, out/2022 a ago/2026. Preço na coluna U, data na coluna M.</t>
  </si>
  <si>
    <t xml:space="preserve">Data de referência</t>
  </si>
  <si>
    <t xml:space="preserve">05/09/2026.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</si>
</sst>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dd/mm/yyyy"/>
    <numFmt numFmtId="167" formatCode="0.000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0000FF"/>
      <name val="Arial"/>
      <family val="0"/>
      <charset val="1"/>
    </font>
    <font>
      <i val="true"/>
      <sz val="9"/>
      <color rgb="FFC0392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62421"/>
        <bgColor rgb="FF333300"/>
      </patternFill>
    </fill>
    <fill>
      <patternFill patternType="solid">
        <fgColor rgb="FFD6EAF8"/>
        <bgColor rgb="FFD5F5E3"/>
      </patternFill>
    </fill>
    <fill>
      <patternFill patternType="solid">
        <fgColor rgb="FFFFFFCC"/>
        <bgColor rgb="FFFCF3CF"/>
      </patternFill>
    </fill>
    <fill>
      <patternFill patternType="solid">
        <fgColor rgb="FFFDEBD0"/>
        <bgColor rgb="FFFCF3CF"/>
      </patternFill>
    </fill>
    <fill>
      <patternFill patternType="solid">
        <fgColor rgb="FFFCF3CF"/>
        <bgColor rgb="FFFDEBD0"/>
      </patternFill>
    </fill>
    <fill>
      <patternFill patternType="solid">
        <fgColor rgb="FFD5F5E3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6242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CF3CF"/>
      <rgbColor rgb="FF99CCFF"/>
      <rgbColor rgb="FFFF99CC"/>
      <rgbColor rgb="FFCC99FF"/>
      <rgbColor rgb="FFFDEBD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6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6" min="5" style="0" width="13"/>
    <col collapsed="false" customWidth="true" hidden="false" outlineLevel="0" max="8" min="7" style="0" width="10"/>
    <col collapsed="false" customWidth="true" hidden="false" outlineLevel="0" max="9" min="9" style="0" width="46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5" t="n">
        <v>38</v>
      </c>
      <c r="D6" s="6" t="s">
        <v>15</v>
      </c>
      <c r="E6" s="7"/>
      <c r="F6" s="8"/>
      <c r="G6" s="9"/>
      <c r="H6" s="10"/>
      <c r="I6" s="11" t="s">
        <v>16</v>
      </c>
      <c r="J6" s="12"/>
    </row>
    <row r="7" customFormat="false" ht="22.35" hidden="false" customHeight="false" outlineLevel="0" collapsed="false">
      <c r="A7" s="4" t="s">
        <v>17</v>
      </c>
      <c r="B7" s="4" t="s">
        <v>14</v>
      </c>
      <c r="C7" s="5" t="n">
        <v>45</v>
      </c>
      <c r="D7" s="6" t="s">
        <v>15</v>
      </c>
      <c r="E7" s="7"/>
      <c r="F7" s="8"/>
      <c r="G7" s="9"/>
      <c r="H7" s="10"/>
      <c r="I7" s="11" t="s">
        <v>18</v>
      </c>
      <c r="J7" s="12"/>
    </row>
    <row r="8" customFormat="false" ht="22.35" hidden="false" customHeight="false" outlineLevel="0" collapsed="false">
      <c r="A8" s="4" t="s">
        <v>19</v>
      </c>
      <c r="B8" s="4" t="s">
        <v>20</v>
      </c>
      <c r="C8" s="5" t="n">
        <v>86</v>
      </c>
      <c r="D8" s="6" t="s">
        <v>15</v>
      </c>
      <c r="E8" s="7"/>
      <c r="F8" s="8"/>
      <c r="G8" s="9"/>
      <c r="H8" s="10"/>
      <c r="I8" s="11" t="s">
        <v>21</v>
      </c>
      <c r="J8" s="12"/>
    </row>
    <row r="9" customFormat="false" ht="22.35" hidden="false" customHeight="false" outlineLevel="0" collapsed="false">
      <c r="A9" s="4" t="s">
        <v>22</v>
      </c>
      <c r="B9" s="4" t="s">
        <v>23</v>
      </c>
      <c r="C9" s="5" t="n">
        <v>3.2</v>
      </c>
      <c r="D9" s="6" t="s">
        <v>15</v>
      </c>
      <c r="E9" s="7"/>
      <c r="F9" s="8"/>
      <c r="G9" s="9"/>
      <c r="H9" s="10"/>
      <c r="I9" s="11" t="s">
        <v>24</v>
      </c>
      <c r="J9" s="12"/>
    </row>
    <row r="10" customFormat="false" ht="15" hidden="false" customHeight="false" outlineLevel="0" collapsed="false">
      <c r="A10" s="4" t="s">
        <v>25</v>
      </c>
      <c r="B10" s="4" t="s">
        <v>20</v>
      </c>
      <c r="C10" s="5" t="n">
        <v>62</v>
      </c>
      <c r="D10" s="6" t="s">
        <v>15</v>
      </c>
      <c r="E10" s="7"/>
      <c r="F10" s="8"/>
      <c r="G10" s="9"/>
      <c r="H10" s="10"/>
      <c r="I10" s="11" t="s">
        <v>26</v>
      </c>
      <c r="J10" s="12"/>
    </row>
    <row r="11" customFormat="false" ht="15" hidden="false" customHeight="false" outlineLevel="0" collapsed="false">
      <c r="A11" s="4" t="s">
        <v>27</v>
      </c>
      <c r="B11" s="4" t="s">
        <v>14</v>
      </c>
      <c r="C11" s="5" t="n">
        <v>28</v>
      </c>
      <c r="D11" s="6" t="s">
        <v>15</v>
      </c>
      <c r="E11" s="7"/>
      <c r="F11" s="8"/>
      <c r="G11" s="9"/>
      <c r="H11" s="10"/>
      <c r="I11" s="11" t="s">
        <v>28</v>
      </c>
      <c r="J11" s="12"/>
    </row>
    <row r="12" customFormat="false" ht="22.35" hidden="false" customHeight="false" outlineLevel="0" collapsed="false">
      <c r="A12" s="4" t="s">
        <v>29</v>
      </c>
      <c r="B12" s="4" t="s">
        <v>14</v>
      </c>
      <c r="C12" s="5" t="n">
        <v>32</v>
      </c>
      <c r="D12" s="6" t="s">
        <v>15</v>
      </c>
      <c r="E12" s="7"/>
      <c r="F12" s="8"/>
      <c r="G12" s="9"/>
      <c r="H12" s="10"/>
      <c r="I12" s="11" t="s">
        <v>30</v>
      </c>
      <c r="J12" s="12"/>
    </row>
    <row r="13" customFormat="false" ht="15" hidden="false" customHeight="false" outlineLevel="0" collapsed="false">
      <c r="A13" s="4" t="s">
        <v>31</v>
      </c>
      <c r="B13" s="4" t="s">
        <v>20</v>
      </c>
      <c r="C13" s="5" t="n">
        <v>92</v>
      </c>
      <c r="D13" s="13" t="s">
        <v>32</v>
      </c>
      <c r="E13" s="7"/>
      <c r="F13" s="8"/>
      <c r="G13" s="9"/>
      <c r="H13" s="10" t="n">
        <v>1</v>
      </c>
      <c r="I13" s="11" t="s">
        <v>33</v>
      </c>
      <c r="J13" s="12"/>
    </row>
    <row r="14" customFormat="false" ht="15" hidden="false" customHeight="false" outlineLevel="0" collapsed="false">
      <c r="A14" s="4" t="s">
        <v>34</v>
      </c>
      <c r="B14" s="4" t="s">
        <v>23</v>
      </c>
      <c r="C14" s="5" t="n">
        <v>215</v>
      </c>
      <c r="D14" s="13" t="s">
        <v>32</v>
      </c>
      <c r="E14" s="7"/>
      <c r="F14" s="8"/>
      <c r="G14" s="9"/>
      <c r="H14" s="10" t="n">
        <v>1</v>
      </c>
      <c r="I14" s="11" t="s">
        <v>33</v>
      </c>
      <c r="J14" s="12"/>
    </row>
    <row r="15" customFormat="false" ht="15" hidden="false" customHeight="false" outlineLevel="0" collapsed="false">
      <c r="A15" s="4" t="s">
        <v>35</v>
      </c>
      <c r="B15" s="4" t="s">
        <v>36</v>
      </c>
      <c r="C15" s="5" t="n">
        <v>100</v>
      </c>
      <c r="D15" s="13" t="s">
        <v>32</v>
      </c>
      <c r="E15" s="7"/>
      <c r="F15" s="8"/>
      <c r="G15" s="9"/>
      <c r="H15" s="10" t="n">
        <v>1</v>
      </c>
      <c r="I15" s="11" t="s">
        <v>33</v>
      </c>
      <c r="J15" s="12"/>
    </row>
    <row r="16" customFormat="false" ht="15" hidden="false" customHeight="false" outlineLevel="0" collapsed="false">
      <c r="A16" s="4" t="s">
        <v>37</v>
      </c>
      <c r="B16" s="4" t="s">
        <v>23</v>
      </c>
      <c r="C16" s="5" t="n">
        <v>76.51</v>
      </c>
      <c r="D16" s="14" t="s">
        <v>38</v>
      </c>
      <c r="E16" s="7" t="n">
        <v>67.26</v>
      </c>
      <c r="F16" s="8" t="n">
        <v>45576</v>
      </c>
      <c r="G16" s="9" t="n">
        <v>1.1375</v>
      </c>
      <c r="H16" s="10" t="n">
        <v>12</v>
      </c>
      <c r="I16" s="11"/>
      <c r="J16" s="12"/>
    </row>
    <row r="17" customFormat="false" ht="15" hidden="false" customHeight="false" outlineLevel="0" collapsed="false">
      <c r="A17" s="4" t="s">
        <v>39</v>
      </c>
      <c r="B17" s="4" t="s">
        <v>23</v>
      </c>
      <c r="C17" s="5" t="n">
        <v>119.84</v>
      </c>
      <c r="D17" s="14" t="s">
        <v>38</v>
      </c>
      <c r="E17" s="7" t="n">
        <v>100.61</v>
      </c>
      <c r="F17" s="8" t="n">
        <v>45300</v>
      </c>
      <c r="G17" s="9" t="n">
        <v>1.1911</v>
      </c>
      <c r="H17" s="10" t="n">
        <v>1</v>
      </c>
      <c r="I17" s="11"/>
      <c r="J17" s="12"/>
    </row>
    <row r="18" customFormat="false" ht="15" hidden="false" customHeight="false" outlineLevel="0" collapsed="false">
      <c r="A18" s="4" t="s">
        <v>40</v>
      </c>
      <c r="B18" s="4" t="s">
        <v>23</v>
      </c>
      <c r="C18" s="5" t="n">
        <v>12.52</v>
      </c>
      <c r="D18" s="14" t="s">
        <v>38</v>
      </c>
      <c r="E18" s="7" t="n">
        <v>11.23</v>
      </c>
      <c r="F18" s="8" t="n">
        <v>45714</v>
      </c>
      <c r="G18" s="9" t="n">
        <v>1.1147</v>
      </c>
      <c r="H18" s="10" t="n">
        <v>2</v>
      </c>
      <c r="I18" s="11"/>
      <c r="J18" s="12"/>
    </row>
    <row r="19" customFormat="false" ht="15" hidden="false" customHeight="false" outlineLevel="0" collapsed="false">
      <c r="A19" s="4" t="s">
        <v>41</v>
      </c>
      <c r="B19" s="4" t="s">
        <v>23</v>
      </c>
      <c r="C19" s="5" t="n">
        <v>15.63</v>
      </c>
      <c r="D19" s="14" t="s">
        <v>38</v>
      </c>
      <c r="E19" s="7" t="n">
        <v>12.77</v>
      </c>
      <c r="F19" s="8" t="n">
        <v>44993</v>
      </c>
      <c r="G19" s="9" t="n">
        <v>1.2242</v>
      </c>
      <c r="H19" s="10" t="n">
        <v>4</v>
      </c>
      <c r="I19" s="11"/>
      <c r="J19" s="12"/>
    </row>
    <row r="20" customFormat="false" ht="15" hidden="false" customHeight="false" outlineLevel="0" collapsed="false">
      <c r="A20" s="4" t="s">
        <v>42</v>
      </c>
      <c r="B20" s="4" t="s">
        <v>23</v>
      </c>
      <c r="C20" s="5" t="n">
        <v>20.04</v>
      </c>
      <c r="D20" s="14" t="s">
        <v>38</v>
      </c>
      <c r="E20" s="7" t="n">
        <v>16.78</v>
      </c>
      <c r="F20" s="8" t="n">
        <v>45264</v>
      </c>
      <c r="G20" s="9" t="n">
        <v>1.1944</v>
      </c>
      <c r="H20" s="10" t="n">
        <v>14</v>
      </c>
      <c r="I20" s="11"/>
      <c r="J20" s="12"/>
    </row>
    <row r="21" customFormat="false" ht="15" hidden="false" customHeight="false" outlineLevel="0" collapsed="false">
      <c r="A21" s="4" t="s">
        <v>43</v>
      </c>
      <c r="B21" s="4" t="s">
        <v>23</v>
      </c>
      <c r="C21" s="5" t="n">
        <v>12.85</v>
      </c>
      <c r="D21" s="14" t="s">
        <v>38</v>
      </c>
      <c r="E21" s="7" t="n">
        <v>10.7</v>
      </c>
      <c r="F21" s="8" t="n">
        <v>45225</v>
      </c>
      <c r="G21" s="9" t="n">
        <v>1.2009</v>
      </c>
      <c r="H21" s="10" t="n">
        <v>6</v>
      </c>
      <c r="I21" s="11"/>
      <c r="J21" s="12"/>
    </row>
    <row r="22" customFormat="false" ht="15" hidden="false" customHeight="false" outlineLevel="0" collapsed="false">
      <c r="A22" s="4" t="s">
        <v>44</v>
      </c>
      <c r="B22" s="4" t="s">
        <v>23</v>
      </c>
      <c r="C22" s="5" t="n">
        <v>38.86</v>
      </c>
      <c r="D22" s="14" t="s">
        <v>38</v>
      </c>
      <c r="E22" s="7" t="n">
        <v>35.91</v>
      </c>
      <c r="F22" s="8" t="n">
        <v>45877</v>
      </c>
      <c r="G22" s="9" t="n">
        <v>1.0822</v>
      </c>
      <c r="H22" s="10" t="n">
        <v>23</v>
      </c>
      <c r="I22" s="11"/>
      <c r="J22" s="12"/>
    </row>
    <row r="23" customFormat="false" ht="15" hidden="false" customHeight="false" outlineLevel="0" collapsed="false">
      <c r="A23" s="4" t="s">
        <v>45</v>
      </c>
      <c r="B23" s="4" t="s">
        <v>23</v>
      </c>
      <c r="C23" s="5" t="n">
        <v>87.72</v>
      </c>
      <c r="D23" s="14" t="s">
        <v>38</v>
      </c>
      <c r="E23" s="7" t="n">
        <v>79.87</v>
      </c>
      <c r="F23" s="8" t="n">
        <v>45783</v>
      </c>
      <c r="G23" s="9" t="n">
        <v>1.0983</v>
      </c>
      <c r="H23" s="10" t="n">
        <v>16</v>
      </c>
      <c r="I23" s="11"/>
      <c r="J23" s="12"/>
    </row>
    <row r="24" customFormat="false" ht="15" hidden="false" customHeight="false" outlineLevel="0" collapsed="false">
      <c r="A24" s="4" t="s">
        <v>46</v>
      </c>
      <c r="B24" s="4" t="s">
        <v>23</v>
      </c>
      <c r="C24" s="5" t="n">
        <v>15.59</v>
      </c>
      <c r="D24" s="14" t="s">
        <v>38</v>
      </c>
      <c r="E24" s="7" t="n">
        <v>14.26</v>
      </c>
      <c r="F24" s="8" t="n">
        <v>45818</v>
      </c>
      <c r="G24" s="9" t="n">
        <v>1.0929</v>
      </c>
      <c r="H24" s="10" t="n">
        <v>9</v>
      </c>
      <c r="I24" s="11"/>
      <c r="J24" s="12"/>
    </row>
    <row r="25" customFormat="false" ht="15" hidden="false" customHeight="false" outlineLevel="0" collapsed="false">
      <c r="A25" s="4" t="s">
        <v>47</v>
      </c>
      <c r="B25" s="4" t="s">
        <v>23</v>
      </c>
      <c r="C25" s="5" t="n">
        <v>0.87</v>
      </c>
      <c r="D25" s="14" t="s">
        <v>38</v>
      </c>
      <c r="E25" s="7" t="n">
        <v>0.8</v>
      </c>
      <c r="F25" s="8" t="n">
        <v>45849</v>
      </c>
      <c r="G25" s="9" t="n">
        <v>1.0876</v>
      </c>
      <c r="H25" s="10" t="n">
        <v>15</v>
      </c>
      <c r="I25" s="11"/>
      <c r="J25" s="12"/>
    </row>
    <row r="26" customFormat="false" ht="15" hidden="false" customHeight="false" outlineLevel="0" collapsed="false">
      <c r="A26" s="4" t="s">
        <v>48</v>
      </c>
      <c r="B26" s="4"/>
      <c r="C26" s="5" t="n">
        <v>1977.02</v>
      </c>
      <c r="D26" s="14" t="s">
        <v>38</v>
      </c>
      <c r="E26" s="7" t="n">
        <v>1800.07</v>
      </c>
      <c r="F26" s="8" t="n">
        <v>45799</v>
      </c>
      <c r="G26" s="9" t="n">
        <v>1.0983</v>
      </c>
      <c r="H26" s="10" t="n">
        <v>25</v>
      </c>
      <c r="I26" s="11"/>
      <c r="J26" s="12"/>
    </row>
    <row r="27" customFormat="false" ht="15" hidden="false" customHeight="false" outlineLevel="0" collapsed="false">
      <c r="A27" s="4" t="s">
        <v>49</v>
      </c>
      <c r="B27" s="4"/>
      <c r="C27" s="5" t="n">
        <v>472.29</v>
      </c>
      <c r="D27" s="14" t="s">
        <v>38</v>
      </c>
      <c r="E27" s="7" t="n">
        <v>430.02</v>
      </c>
      <c r="F27" s="8" t="n">
        <v>45799</v>
      </c>
      <c r="G27" s="9" t="n">
        <v>1.0983</v>
      </c>
      <c r="H27" s="10" t="n">
        <v>11</v>
      </c>
      <c r="I27" s="11"/>
      <c r="J27" s="12"/>
    </row>
    <row r="28" customFormat="false" ht="15" hidden="false" customHeight="false" outlineLevel="0" collapsed="false">
      <c r="A28" s="4" t="s">
        <v>50</v>
      </c>
      <c r="B28" s="4"/>
      <c r="C28" s="5" t="n">
        <v>488.76</v>
      </c>
      <c r="D28" s="14" t="s">
        <v>38</v>
      </c>
      <c r="E28" s="7" t="n">
        <v>445.02</v>
      </c>
      <c r="F28" s="8" t="n">
        <v>45799</v>
      </c>
      <c r="G28" s="9" t="n">
        <v>1.0983</v>
      </c>
      <c r="H28" s="10" t="n">
        <v>31</v>
      </c>
      <c r="I28" s="11"/>
      <c r="J28" s="12"/>
    </row>
    <row r="29" customFormat="false" ht="15" hidden="false" customHeight="false" outlineLevel="0" collapsed="false">
      <c r="A29" s="4" t="s">
        <v>51</v>
      </c>
      <c r="B29" s="4"/>
      <c r="C29" s="5" t="n">
        <v>505.24</v>
      </c>
      <c r="D29" s="14" t="s">
        <v>38</v>
      </c>
      <c r="E29" s="7" t="n">
        <v>460.02</v>
      </c>
      <c r="F29" s="8" t="n">
        <v>45799</v>
      </c>
      <c r="G29" s="9" t="n">
        <v>1.0983</v>
      </c>
      <c r="H29" s="10" t="n">
        <v>4</v>
      </c>
      <c r="I29" s="11"/>
      <c r="J29" s="12"/>
    </row>
    <row r="30" customFormat="false" ht="15" hidden="false" customHeight="false" outlineLevel="0" collapsed="false">
      <c r="A30" s="4" t="s">
        <v>52</v>
      </c>
      <c r="B30" s="4" t="s">
        <v>23</v>
      </c>
      <c r="C30" s="5" t="n">
        <v>5.29</v>
      </c>
      <c r="D30" s="14" t="s">
        <v>38</v>
      </c>
      <c r="E30" s="7" t="n">
        <v>4.3</v>
      </c>
      <c r="F30" s="8" t="n">
        <v>44946</v>
      </c>
      <c r="G30" s="9" t="n">
        <v>1.2309</v>
      </c>
      <c r="H30" s="10" t="n">
        <v>1</v>
      </c>
      <c r="I30" s="11" t="s">
        <v>53</v>
      </c>
      <c r="J30" s="12"/>
    </row>
    <row r="31" customFormat="false" ht="15" hidden="false" customHeight="false" outlineLevel="0" collapsed="false">
      <c r="A31" s="4" t="s">
        <v>54</v>
      </c>
      <c r="B31" s="4" t="s">
        <v>23</v>
      </c>
      <c r="C31" s="5" t="n">
        <v>5.29</v>
      </c>
      <c r="D31" s="14" t="s">
        <v>38</v>
      </c>
      <c r="E31" s="7" t="n">
        <v>4.3</v>
      </c>
      <c r="F31" s="8" t="n">
        <v>44946</v>
      </c>
      <c r="G31" s="9" t="n">
        <v>1.2309</v>
      </c>
      <c r="H31" s="10" t="n">
        <v>1</v>
      </c>
      <c r="I31" s="11" t="s">
        <v>53</v>
      </c>
      <c r="J31" s="12"/>
    </row>
    <row r="32" customFormat="false" ht="15" hidden="false" customHeight="false" outlineLevel="0" collapsed="false">
      <c r="A32" s="4" t="s">
        <v>55</v>
      </c>
      <c r="B32" s="4" t="s">
        <v>23</v>
      </c>
      <c r="C32" s="5" t="n">
        <v>2.58</v>
      </c>
      <c r="D32" s="14" t="s">
        <v>38</v>
      </c>
      <c r="E32" s="7" t="n">
        <v>2.1</v>
      </c>
      <c r="F32" s="8" t="n">
        <v>44944</v>
      </c>
      <c r="G32" s="9" t="n">
        <v>1.2309</v>
      </c>
      <c r="H32" s="10" t="n">
        <v>2</v>
      </c>
      <c r="I32" s="11" t="s">
        <v>56</v>
      </c>
      <c r="J32" s="12"/>
    </row>
    <row r="33" customFormat="false" ht="15" hidden="false" customHeight="false" outlineLevel="0" collapsed="false">
      <c r="A33" s="4" t="s">
        <v>57</v>
      </c>
      <c r="B33" s="4" t="s">
        <v>23</v>
      </c>
      <c r="C33" s="5" t="n">
        <v>62.52</v>
      </c>
      <c r="D33" s="14" t="s">
        <v>38</v>
      </c>
      <c r="E33" s="7" t="n">
        <v>53.85</v>
      </c>
      <c r="F33" s="8" t="n">
        <v>45453</v>
      </c>
      <c r="G33" s="9" t="n">
        <v>1.161</v>
      </c>
      <c r="H33" s="10" t="n">
        <v>3</v>
      </c>
      <c r="I33" s="11"/>
      <c r="J33" s="12"/>
    </row>
    <row r="34" customFormat="false" ht="15" hidden="false" customHeight="false" outlineLevel="0" collapsed="false">
      <c r="A34" s="4" t="s">
        <v>58</v>
      </c>
      <c r="B34" s="4" t="s">
        <v>23</v>
      </c>
      <c r="C34" s="5" t="n">
        <v>51.6</v>
      </c>
      <c r="D34" s="14" t="s">
        <v>38</v>
      </c>
      <c r="E34" s="7" t="n">
        <v>41.61</v>
      </c>
      <c r="F34" s="8" t="n">
        <v>44907</v>
      </c>
      <c r="G34" s="9" t="n">
        <v>1.2402</v>
      </c>
      <c r="H34" s="10" t="n">
        <v>1</v>
      </c>
      <c r="I34" s="11"/>
      <c r="J34" s="12"/>
    </row>
    <row r="35" customFormat="false" ht="15" hidden="false" customHeight="false" outlineLevel="0" collapsed="false">
      <c r="A35" s="4" t="s">
        <v>59</v>
      </c>
      <c r="B35" s="4" t="s">
        <v>23</v>
      </c>
      <c r="C35" s="5" t="n">
        <v>5.29</v>
      </c>
      <c r="D35" s="14" t="s">
        <v>38</v>
      </c>
      <c r="E35" s="7" t="n">
        <v>4.3</v>
      </c>
      <c r="F35" s="8" t="n">
        <v>44946</v>
      </c>
      <c r="G35" s="9" t="n">
        <v>1.2309</v>
      </c>
      <c r="H35" s="10" t="n">
        <v>1</v>
      </c>
      <c r="I35" s="11" t="s">
        <v>53</v>
      </c>
      <c r="J35" s="12"/>
    </row>
    <row r="36" customFormat="false" ht="15" hidden="false" customHeight="false" outlineLevel="0" collapsed="false">
      <c r="A36" s="4" t="s">
        <v>60</v>
      </c>
      <c r="B36" s="4" t="s">
        <v>23</v>
      </c>
      <c r="C36" s="5" t="n">
        <v>2.54</v>
      </c>
      <c r="D36" s="14" t="s">
        <v>38</v>
      </c>
      <c r="E36" s="7" t="n">
        <v>2.34</v>
      </c>
      <c r="F36" s="8" t="n">
        <v>45849</v>
      </c>
      <c r="G36" s="9" t="n">
        <v>1.0876</v>
      </c>
      <c r="H36" s="10" t="n">
        <v>36</v>
      </c>
      <c r="I36" s="11"/>
      <c r="J36" s="12"/>
    </row>
    <row r="37" customFormat="false" ht="15" hidden="false" customHeight="false" outlineLevel="0" collapsed="false">
      <c r="A37" s="4" t="s">
        <v>61</v>
      </c>
      <c r="B37" s="4" t="s">
        <v>23</v>
      </c>
      <c r="C37" s="5" t="n">
        <v>86.15</v>
      </c>
      <c r="D37" s="14" t="s">
        <v>38</v>
      </c>
      <c r="E37" s="7" t="n">
        <v>80</v>
      </c>
      <c r="F37" s="8" t="n">
        <v>45916</v>
      </c>
      <c r="G37" s="9" t="n">
        <v>1.0769</v>
      </c>
      <c r="H37" s="10" t="n">
        <v>48</v>
      </c>
      <c r="I37" s="11"/>
      <c r="J37" s="12"/>
    </row>
    <row r="38" customFormat="false" ht="15" hidden="false" customHeight="false" outlineLevel="0" collapsed="false">
      <c r="A38" s="4" t="s">
        <v>62</v>
      </c>
      <c r="B38" s="4" t="s">
        <v>23</v>
      </c>
      <c r="C38" s="5" t="n">
        <v>1790.37</v>
      </c>
      <c r="D38" s="14" t="s">
        <v>38</v>
      </c>
      <c r="E38" s="7" t="n">
        <v>1498.97</v>
      </c>
      <c r="F38" s="8" t="n">
        <v>45261</v>
      </c>
      <c r="G38" s="9" t="n">
        <v>1.1944</v>
      </c>
      <c r="H38" s="10" t="n">
        <v>4</v>
      </c>
      <c r="I38" s="11"/>
      <c r="J38" s="12"/>
    </row>
    <row r="39" customFormat="false" ht="15" hidden="false" customHeight="false" outlineLevel="0" collapsed="false">
      <c r="A39" s="4" t="s">
        <v>63</v>
      </c>
      <c r="B39" s="4" t="s">
        <v>23</v>
      </c>
      <c r="C39" s="5" t="n">
        <v>197.46</v>
      </c>
      <c r="D39" s="14" t="s">
        <v>38</v>
      </c>
      <c r="E39" s="7" t="n">
        <v>172.7</v>
      </c>
      <c r="F39" s="8" t="n">
        <v>45554</v>
      </c>
      <c r="G39" s="9" t="n">
        <v>1.1434</v>
      </c>
      <c r="H39" s="10" t="n">
        <v>6</v>
      </c>
      <c r="I39" s="11"/>
      <c r="J39" s="12"/>
    </row>
    <row r="40" customFormat="false" ht="15" hidden="false" customHeight="false" outlineLevel="0" collapsed="false">
      <c r="A40" s="4" t="s">
        <v>64</v>
      </c>
      <c r="B40" s="4" t="s">
        <v>23</v>
      </c>
      <c r="C40" s="5" t="n">
        <v>79.31</v>
      </c>
      <c r="D40" s="14" t="s">
        <v>38</v>
      </c>
      <c r="E40" s="7" t="n">
        <v>68.31</v>
      </c>
      <c r="F40" s="8" t="n">
        <v>45453</v>
      </c>
      <c r="G40" s="9" t="n">
        <v>1.161</v>
      </c>
      <c r="H40" s="10" t="n">
        <v>3</v>
      </c>
      <c r="I40" s="11"/>
      <c r="J40" s="12"/>
    </row>
    <row r="41" customFormat="false" ht="15" hidden="false" customHeight="false" outlineLevel="0" collapsed="false">
      <c r="A41" s="4" t="s">
        <v>65</v>
      </c>
      <c r="B41" s="4" t="s">
        <v>14</v>
      </c>
      <c r="C41" s="5" t="n">
        <v>0.11</v>
      </c>
      <c r="D41" s="14" t="s">
        <v>38</v>
      </c>
      <c r="E41" s="7" t="n">
        <v>0.1</v>
      </c>
      <c r="F41" s="8" t="n">
        <v>45849</v>
      </c>
      <c r="G41" s="9" t="n">
        <v>1.0876</v>
      </c>
      <c r="H41" s="10" t="n">
        <v>15</v>
      </c>
      <c r="I41" s="11"/>
      <c r="J41" s="12"/>
    </row>
    <row r="42" customFormat="false" ht="15" hidden="false" customHeight="false" outlineLevel="0" collapsed="false">
      <c r="A42" s="4" t="s">
        <v>66</v>
      </c>
      <c r="B42" s="4" t="s">
        <v>23</v>
      </c>
      <c r="C42" s="5" t="n">
        <v>4.36</v>
      </c>
      <c r="D42" s="14" t="s">
        <v>38</v>
      </c>
      <c r="E42" s="7" t="n">
        <v>4.05</v>
      </c>
      <c r="F42" s="8" t="n">
        <v>45910</v>
      </c>
      <c r="G42" s="9" t="n">
        <v>1.0769</v>
      </c>
      <c r="H42" s="10" t="n">
        <v>15</v>
      </c>
      <c r="I42" s="11"/>
      <c r="J42" s="12"/>
    </row>
    <row r="43" customFormat="false" ht="15" hidden="false" customHeight="false" outlineLevel="0" collapsed="false">
      <c r="A43" s="4" t="s">
        <v>67</v>
      </c>
      <c r="B43" s="4" t="s">
        <v>14</v>
      </c>
      <c r="C43" s="5" t="n">
        <v>1.95</v>
      </c>
      <c r="D43" s="14" t="s">
        <v>38</v>
      </c>
      <c r="E43" s="7" t="n">
        <v>1.62</v>
      </c>
      <c r="F43" s="8" t="n">
        <v>45223</v>
      </c>
      <c r="G43" s="9" t="n">
        <v>1.2009</v>
      </c>
      <c r="H43" s="10" t="n">
        <v>1</v>
      </c>
      <c r="I43" s="11"/>
      <c r="J43" s="12"/>
    </row>
    <row r="44" customFormat="false" ht="15" hidden="false" customHeight="false" outlineLevel="0" collapsed="false">
      <c r="A44" s="4" t="s">
        <v>68</v>
      </c>
      <c r="B44" s="4" t="s">
        <v>23</v>
      </c>
      <c r="C44" s="5" t="n">
        <v>58.74</v>
      </c>
      <c r="D44" s="14" t="s">
        <v>38</v>
      </c>
      <c r="E44" s="7" t="n">
        <v>49.04</v>
      </c>
      <c r="F44" s="8" t="n">
        <v>45239</v>
      </c>
      <c r="G44" s="9" t="n">
        <v>1.1977</v>
      </c>
      <c r="H44" s="10" t="n">
        <v>1</v>
      </c>
      <c r="I44" s="11"/>
      <c r="J44" s="12"/>
    </row>
    <row r="45" customFormat="false" ht="15" hidden="false" customHeight="false" outlineLevel="0" collapsed="false">
      <c r="A45" s="4" t="s">
        <v>69</v>
      </c>
      <c r="B45" s="4" t="s">
        <v>23</v>
      </c>
      <c r="C45" s="5" t="n">
        <v>53.46</v>
      </c>
      <c r="D45" s="14" t="s">
        <v>38</v>
      </c>
      <c r="E45" s="7" t="n">
        <v>49.4</v>
      </c>
      <c r="F45" s="8" t="n">
        <v>45877</v>
      </c>
      <c r="G45" s="9" t="n">
        <v>1.0822</v>
      </c>
      <c r="H45" s="10" t="n">
        <v>3</v>
      </c>
      <c r="I45" s="11"/>
      <c r="J45" s="12"/>
    </row>
    <row r="46" customFormat="false" ht="15" hidden="false" customHeight="false" outlineLevel="0" collapsed="false">
      <c r="A46" s="4" t="s">
        <v>70</v>
      </c>
      <c r="B46" s="4" t="s">
        <v>23</v>
      </c>
      <c r="C46" s="5" t="n">
        <v>195.57</v>
      </c>
      <c r="D46" s="14" t="s">
        <v>38</v>
      </c>
      <c r="E46" s="7" t="n">
        <v>176.32</v>
      </c>
      <c r="F46" s="8" t="n">
        <v>45736</v>
      </c>
      <c r="G46" s="9" t="n">
        <v>1.1092</v>
      </c>
      <c r="H46" s="10" t="n">
        <v>28</v>
      </c>
      <c r="I46" s="11"/>
      <c r="J46" s="12"/>
    </row>
    <row r="47" customFormat="false" ht="15" hidden="false" customHeight="false" outlineLevel="0" collapsed="false">
      <c r="A47" s="4" t="s">
        <v>71</v>
      </c>
      <c r="B47" s="4" t="s">
        <v>23</v>
      </c>
      <c r="C47" s="5" t="n">
        <v>224.67</v>
      </c>
      <c r="D47" s="14" t="s">
        <v>38</v>
      </c>
      <c r="E47" s="7" t="n">
        <v>184.53</v>
      </c>
      <c r="F47" s="8" t="n">
        <v>45049</v>
      </c>
      <c r="G47" s="9" t="n">
        <v>1.2175</v>
      </c>
      <c r="H47" s="10" t="n">
        <v>1</v>
      </c>
      <c r="I47" s="11"/>
      <c r="J47" s="12"/>
    </row>
    <row r="48" customFormat="false" ht="15" hidden="false" customHeight="false" outlineLevel="0" collapsed="false">
      <c r="A48" s="4" t="s">
        <v>72</v>
      </c>
      <c r="B48" s="4" t="s">
        <v>20</v>
      </c>
      <c r="C48" s="5" t="n">
        <v>73.95</v>
      </c>
      <c r="D48" s="14" t="s">
        <v>38</v>
      </c>
      <c r="E48" s="7" t="n">
        <v>67</v>
      </c>
      <c r="F48" s="8" t="n">
        <v>45761</v>
      </c>
      <c r="G48" s="9" t="n">
        <v>1.1038</v>
      </c>
      <c r="H48" s="10" t="n">
        <v>9</v>
      </c>
      <c r="I48" s="11"/>
      <c r="J48" s="12"/>
    </row>
    <row r="49" customFormat="false" ht="15" hidden="false" customHeight="false" outlineLevel="0" collapsed="false">
      <c r="A49" s="4" t="s">
        <v>73</v>
      </c>
      <c r="B49" s="4" t="s">
        <v>20</v>
      </c>
      <c r="C49" s="5" t="n">
        <v>74.98</v>
      </c>
      <c r="D49" s="14" t="s">
        <v>38</v>
      </c>
      <c r="E49" s="7" t="n">
        <v>61.93</v>
      </c>
      <c r="F49" s="8" t="n">
        <v>45119</v>
      </c>
      <c r="G49" s="9" t="n">
        <v>1.2108</v>
      </c>
      <c r="H49" s="10" t="n">
        <v>1</v>
      </c>
      <c r="I49" s="11"/>
      <c r="J49" s="12"/>
    </row>
    <row r="50" customFormat="false" ht="15" hidden="false" customHeight="false" outlineLevel="0" collapsed="false">
      <c r="A50" s="4" t="s">
        <v>74</v>
      </c>
      <c r="B50" s="4" t="s">
        <v>23</v>
      </c>
      <c r="C50" s="5" t="n">
        <v>12.08</v>
      </c>
      <c r="D50" s="14" t="s">
        <v>38</v>
      </c>
      <c r="E50" s="7" t="n">
        <v>11.11</v>
      </c>
      <c r="F50" s="8" t="n">
        <v>45855</v>
      </c>
      <c r="G50" s="9" t="n">
        <v>1.0876</v>
      </c>
      <c r="H50" s="10" t="n">
        <v>96</v>
      </c>
      <c r="I50" s="11"/>
      <c r="J50" s="12"/>
    </row>
    <row r="51" customFormat="false" ht="15" hidden="false" customHeight="false" outlineLevel="0" collapsed="false">
      <c r="A51" s="4" t="s">
        <v>75</v>
      </c>
      <c r="B51" s="4" t="s">
        <v>23</v>
      </c>
      <c r="C51" s="5" t="n">
        <v>11.42</v>
      </c>
      <c r="D51" s="14" t="s">
        <v>38</v>
      </c>
      <c r="E51" s="7" t="n">
        <v>10.5</v>
      </c>
      <c r="F51" s="8" t="n">
        <v>45841</v>
      </c>
      <c r="G51" s="9" t="n">
        <v>1.0876</v>
      </c>
      <c r="H51" s="10" t="n">
        <v>26</v>
      </c>
      <c r="I51" s="11"/>
      <c r="J51" s="12"/>
    </row>
    <row r="52" customFormat="false" ht="15" hidden="false" customHeight="false" outlineLevel="0" collapsed="false">
      <c r="A52" s="4" t="s">
        <v>76</v>
      </c>
      <c r="B52" s="4" t="s">
        <v>23</v>
      </c>
      <c r="C52" s="5" t="n">
        <v>19.38</v>
      </c>
      <c r="D52" s="14" t="s">
        <v>38</v>
      </c>
      <c r="E52" s="7" t="n">
        <v>18</v>
      </c>
      <c r="F52" s="8" t="n">
        <v>45910</v>
      </c>
      <c r="G52" s="9" t="n">
        <v>1.0769</v>
      </c>
      <c r="H52" s="10" t="n">
        <v>12</v>
      </c>
      <c r="I52" s="11"/>
      <c r="J52" s="12"/>
    </row>
    <row r="53" customFormat="false" ht="15" hidden="false" customHeight="false" outlineLevel="0" collapsed="false">
      <c r="A53" s="4" t="s">
        <v>77</v>
      </c>
      <c r="B53" s="4" t="s">
        <v>23</v>
      </c>
      <c r="C53" s="5" t="n">
        <v>24.23</v>
      </c>
      <c r="D53" s="14" t="s">
        <v>38</v>
      </c>
      <c r="E53" s="7" t="n">
        <v>20.55</v>
      </c>
      <c r="F53" s="8" t="n">
        <v>45373</v>
      </c>
      <c r="G53" s="9" t="n">
        <v>1.179</v>
      </c>
      <c r="H53" s="10" t="n">
        <v>6</v>
      </c>
      <c r="I53" s="11"/>
      <c r="J53" s="12"/>
    </row>
    <row r="54" customFormat="false" ht="15" hidden="false" customHeight="false" outlineLevel="0" collapsed="false">
      <c r="A54" s="4" t="s">
        <v>78</v>
      </c>
      <c r="B54" s="4" t="s">
        <v>23</v>
      </c>
      <c r="C54" s="5" t="n">
        <v>37.7</v>
      </c>
      <c r="D54" s="14" t="s">
        <v>38</v>
      </c>
      <c r="E54" s="7" t="n">
        <v>35.01</v>
      </c>
      <c r="F54" s="8" t="n">
        <v>45910</v>
      </c>
      <c r="G54" s="9" t="n">
        <v>1.0769</v>
      </c>
      <c r="H54" s="10" t="n">
        <v>44</v>
      </c>
      <c r="I54" s="11"/>
      <c r="J54" s="12"/>
    </row>
    <row r="55" customFormat="false" ht="15" hidden="false" customHeight="false" outlineLevel="0" collapsed="false">
      <c r="A55" s="4" t="s">
        <v>79</v>
      </c>
      <c r="B55" s="4" t="s">
        <v>20</v>
      </c>
      <c r="C55" s="5" t="n">
        <v>18.55</v>
      </c>
      <c r="D55" s="14" t="s">
        <v>38</v>
      </c>
      <c r="E55" s="7" t="n">
        <v>15.53</v>
      </c>
      <c r="F55" s="8" t="n">
        <v>45272</v>
      </c>
      <c r="G55" s="9" t="n">
        <v>1.1944</v>
      </c>
      <c r="H55" s="10" t="n">
        <v>5</v>
      </c>
      <c r="I55" s="11" t="s">
        <v>80</v>
      </c>
      <c r="J55" s="12"/>
    </row>
    <row r="56" customFormat="false" ht="15" hidden="false" customHeight="false" outlineLevel="0" collapsed="false">
      <c r="A56" s="4" t="s">
        <v>81</v>
      </c>
      <c r="B56" s="4" t="s">
        <v>14</v>
      </c>
      <c r="C56" s="5" t="n">
        <v>12.2</v>
      </c>
      <c r="D56" s="14" t="s">
        <v>38</v>
      </c>
      <c r="E56" s="7" t="n">
        <v>11</v>
      </c>
      <c r="F56" s="8" t="n">
        <v>45736</v>
      </c>
      <c r="G56" s="9" t="n">
        <v>1.1092</v>
      </c>
      <c r="H56" s="10" t="n">
        <v>6</v>
      </c>
      <c r="I56" s="11"/>
      <c r="J56" s="12"/>
    </row>
    <row r="57" customFormat="false" ht="15" hidden="false" customHeight="false" outlineLevel="0" collapsed="false">
      <c r="A57" s="4" t="s">
        <v>82</v>
      </c>
      <c r="B57" s="4"/>
      <c r="C57" s="5" t="n">
        <v>153.77</v>
      </c>
      <c r="D57" s="14" t="s">
        <v>38</v>
      </c>
      <c r="E57" s="7" t="n">
        <v>140.01</v>
      </c>
      <c r="F57" s="8" t="n">
        <v>45799</v>
      </c>
      <c r="G57" s="9" t="n">
        <v>1.0983</v>
      </c>
      <c r="H57" s="10" t="n">
        <v>1</v>
      </c>
      <c r="I57" s="11" t="s">
        <v>83</v>
      </c>
      <c r="J57" s="12"/>
    </row>
    <row r="58" customFormat="false" ht="15" hidden="false" customHeight="false" outlineLevel="0" collapsed="false">
      <c r="A58" s="4" t="s">
        <v>84</v>
      </c>
      <c r="B58" s="4" t="s">
        <v>23</v>
      </c>
      <c r="C58" s="5" t="n">
        <v>3.11</v>
      </c>
      <c r="D58" s="14" t="s">
        <v>38</v>
      </c>
      <c r="E58" s="7" t="n">
        <v>2.6</v>
      </c>
      <c r="F58" s="8" t="n">
        <v>45264</v>
      </c>
      <c r="G58" s="9" t="n">
        <v>1.1944</v>
      </c>
      <c r="H58" s="10" t="n">
        <v>2</v>
      </c>
      <c r="I58" s="11" t="s">
        <v>85</v>
      </c>
      <c r="J58" s="12"/>
    </row>
    <row r="59" customFormat="false" ht="15" hidden="false" customHeight="false" outlineLevel="0" collapsed="false">
      <c r="A59" s="4" t="s">
        <v>86</v>
      </c>
      <c r="B59" s="4" t="s">
        <v>23</v>
      </c>
      <c r="C59" s="5" t="n">
        <v>2.39</v>
      </c>
      <c r="D59" s="14" t="s">
        <v>38</v>
      </c>
      <c r="E59" s="7" t="n">
        <v>2.2</v>
      </c>
      <c r="F59" s="8" t="n">
        <v>45841</v>
      </c>
      <c r="G59" s="9" t="n">
        <v>1.0876</v>
      </c>
      <c r="H59" s="10" t="n">
        <v>3</v>
      </c>
      <c r="I59" s="11" t="s">
        <v>87</v>
      </c>
      <c r="J59" s="12"/>
    </row>
    <row r="60" customFormat="false" ht="15" hidden="false" customHeight="false" outlineLevel="0" collapsed="false">
      <c r="A60" s="4" t="s">
        <v>88</v>
      </c>
      <c r="B60" s="4" t="s">
        <v>20</v>
      </c>
      <c r="C60" s="5" t="n">
        <v>30.66</v>
      </c>
      <c r="D60" s="14" t="s">
        <v>38</v>
      </c>
      <c r="E60" s="7" t="n">
        <v>25.67</v>
      </c>
      <c r="F60" s="8" t="n">
        <v>45278</v>
      </c>
      <c r="G60" s="9" t="n">
        <v>1.1944</v>
      </c>
      <c r="H60" s="10" t="n">
        <v>1</v>
      </c>
      <c r="I60" s="11" t="s">
        <v>89</v>
      </c>
      <c r="J60" s="12"/>
    </row>
    <row r="61" customFormat="false" ht="15" hidden="false" customHeight="false" outlineLevel="0" collapsed="false">
      <c r="A61" s="4" t="s">
        <v>90</v>
      </c>
      <c r="B61" s="4" t="s">
        <v>20</v>
      </c>
      <c r="C61" s="5" t="n">
        <v>35.36</v>
      </c>
      <c r="D61" s="14" t="s">
        <v>38</v>
      </c>
      <c r="E61" s="7" t="n">
        <v>28.51</v>
      </c>
      <c r="F61" s="8" t="n">
        <v>44907</v>
      </c>
      <c r="G61" s="9" t="n">
        <v>1.2402</v>
      </c>
      <c r="H61" s="10" t="n">
        <v>1</v>
      </c>
      <c r="I61" s="11" t="s">
        <v>89</v>
      </c>
      <c r="J61" s="12"/>
    </row>
    <row r="62" customFormat="false" ht="15" hidden="false" customHeight="false" outlineLevel="0" collapsed="false">
      <c r="A62" s="4" t="s">
        <v>91</v>
      </c>
      <c r="B62" s="4" t="s">
        <v>23</v>
      </c>
      <c r="C62" s="5" t="n">
        <v>5.5</v>
      </c>
      <c r="D62" s="14" t="s">
        <v>38</v>
      </c>
      <c r="E62" s="7" t="n">
        <v>4.58</v>
      </c>
      <c r="F62" s="8" t="n">
        <v>45222</v>
      </c>
      <c r="G62" s="9" t="n">
        <v>1.2009</v>
      </c>
      <c r="H62" s="10" t="n">
        <v>2</v>
      </c>
      <c r="I62" s="11" t="s">
        <v>87</v>
      </c>
      <c r="J62" s="12"/>
    </row>
    <row r="63" customFormat="false" ht="15" hidden="false" customHeight="false" outlineLevel="0" collapsed="false">
      <c r="A63" s="4" t="s">
        <v>92</v>
      </c>
      <c r="B63" s="4" t="s">
        <v>14</v>
      </c>
      <c r="C63" s="5" t="n">
        <v>11.61</v>
      </c>
      <c r="D63" s="14" t="s">
        <v>38</v>
      </c>
      <c r="E63" s="7" t="n">
        <v>10</v>
      </c>
      <c r="F63" s="8" t="n">
        <v>45448</v>
      </c>
      <c r="G63" s="9" t="n">
        <v>1.161</v>
      </c>
      <c r="H63" s="10" t="n">
        <v>9</v>
      </c>
      <c r="I63" s="11"/>
      <c r="J63" s="12"/>
    </row>
    <row r="64" customFormat="false" ht="15" hidden="false" customHeight="false" outlineLevel="0" collapsed="false">
      <c r="A64" s="4" t="s">
        <v>93</v>
      </c>
      <c r="B64" s="4" t="s">
        <v>14</v>
      </c>
      <c r="C64" s="5" t="n">
        <v>2.32</v>
      </c>
      <c r="D64" s="14" t="s">
        <v>38</v>
      </c>
      <c r="E64" s="7" t="n">
        <v>1.93</v>
      </c>
      <c r="F64" s="8" t="n">
        <v>45190</v>
      </c>
      <c r="G64" s="9" t="n">
        <v>1.2042</v>
      </c>
      <c r="H64" s="10" t="n">
        <v>2</v>
      </c>
      <c r="I64" s="11" t="s">
        <v>94</v>
      </c>
      <c r="J64" s="12"/>
    </row>
    <row r="65" customFormat="false" ht="15" hidden="false" customHeight="false" outlineLevel="0" collapsed="false">
      <c r="A65" s="4" t="s">
        <v>95</v>
      </c>
      <c r="B65" s="4" t="s">
        <v>14</v>
      </c>
      <c r="C65" s="5" t="n">
        <v>18.92</v>
      </c>
      <c r="D65" s="14" t="s">
        <v>38</v>
      </c>
      <c r="E65" s="7" t="n">
        <v>15.8</v>
      </c>
      <c r="F65" s="8" t="n">
        <v>45260</v>
      </c>
      <c r="G65" s="9" t="n">
        <v>1.1977</v>
      </c>
      <c r="H65" s="10" t="n">
        <v>5</v>
      </c>
      <c r="I65" s="11"/>
      <c r="J65" s="12"/>
    </row>
    <row r="66" customFormat="false" ht="15" hidden="false" customHeight="false" outlineLevel="0" collapsed="false">
      <c r="A66" s="4" t="s">
        <v>96</v>
      </c>
      <c r="B66" s="4" t="s">
        <v>14</v>
      </c>
      <c r="C66" s="5" t="n">
        <v>21.87</v>
      </c>
      <c r="D66" s="14" t="s">
        <v>38</v>
      </c>
      <c r="E66" s="7" t="n">
        <v>17.77</v>
      </c>
      <c r="F66" s="8" t="n">
        <v>44929</v>
      </c>
      <c r="G66" s="9" t="n">
        <v>1.2309</v>
      </c>
      <c r="H66" s="10" t="n">
        <v>1</v>
      </c>
      <c r="I66" s="11"/>
      <c r="J66" s="12"/>
    </row>
    <row r="67" customFormat="false" ht="15" hidden="false" customHeight="false" outlineLevel="0" collapsed="false">
      <c r="A67" s="4" t="s">
        <v>97</v>
      </c>
      <c r="B67" s="4" t="s">
        <v>23</v>
      </c>
      <c r="C67" s="5" t="n">
        <v>353.28</v>
      </c>
      <c r="D67" s="14" t="s">
        <v>38</v>
      </c>
      <c r="E67" s="7" t="n">
        <v>328.05</v>
      </c>
      <c r="F67" s="8" t="n">
        <v>45910</v>
      </c>
      <c r="G67" s="9" t="n">
        <v>1.0769</v>
      </c>
      <c r="H67" s="10" t="n">
        <v>6</v>
      </c>
      <c r="I67" s="11"/>
      <c r="J67" s="12"/>
    </row>
    <row r="68" customFormat="false" ht="15" hidden="false" customHeight="false" outlineLevel="0" collapsed="false">
      <c r="A68" s="4" t="s">
        <v>98</v>
      </c>
      <c r="B68" s="4" t="s">
        <v>23</v>
      </c>
      <c r="C68" s="5" t="n">
        <v>96.81</v>
      </c>
      <c r="D68" s="14" t="s">
        <v>38</v>
      </c>
      <c r="E68" s="7" t="n">
        <v>89.9</v>
      </c>
      <c r="F68" s="8" t="n">
        <v>45910</v>
      </c>
      <c r="G68" s="9" t="n">
        <v>1.0769</v>
      </c>
      <c r="H68" s="10" t="n">
        <v>20</v>
      </c>
      <c r="I68" s="11" t="s">
        <v>99</v>
      </c>
      <c r="J68" s="12"/>
    </row>
    <row r="69" customFormat="false" ht="15" hidden="false" customHeight="false" outlineLevel="0" collapsed="false">
      <c r="A69" s="4" t="s">
        <v>100</v>
      </c>
      <c r="B69" s="4" t="s">
        <v>23</v>
      </c>
      <c r="C69" s="5" t="n">
        <v>197.38</v>
      </c>
      <c r="D69" s="14" t="s">
        <v>38</v>
      </c>
      <c r="E69" s="7" t="n">
        <v>183.29</v>
      </c>
      <c r="F69" s="8" t="n">
        <v>45910</v>
      </c>
      <c r="G69" s="9" t="n">
        <v>1.0769</v>
      </c>
      <c r="H69" s="10" t="n">
        <v>12</v>
      </c>
      <c r="I69" s="11"/>
      <c r="J69" s="12"/>
    </row>
    <row r="70" customFormat="false" ht="15" hidden="false" customHeight="false" outlineLevel="0" collapsed="false">
      <c r="A70" s="4" t="s">
        <v>101</v>
      </c>
      <c r="B70" s="4" t="s">
        <v>23</v>
      </c>
      <c r="C70" s="5" t="n">
        <v>753.64</v>
      </c>
      <c r="D70" s="14" t="s">
        <v>38</v>
      </c>
      <c r="E70" s="7" t="n">
        <v>699.82</v>
      </c>
      <c r="F70" s="8" t="n">
        <v>45903</v>
      </c>
      <c r="G70" s="9" t="n">
        <v>1.0769</v>
      </c>
      <c r="H70" s="10" t="n">
        <v>39</v>
      </c>
      <c r="I70" s="11" t="s">
        <v>102</v>
      </c>
      <c r="J70" s="12"/>
    </row>
    <row r="71" customFormat="false" ht="15" hidden="false" customHeight="false" outlineLevel="0" collapsed="false">
      <c r="A71" s="4" t="s">
        <v>103</v>
      </c>
      <c r="B71" s="4" t="s">
        <v>36</v>
      </c>
      <c r="C71" s="5" t="n">
        <v>130</v>
      </c>
      <c r="D71" s="15" t="s">
        <v>104</v>
      </c>
      <c r="E71" s="7"/>
      <c r="F71" s="8" t="n">
        <v>46257</v>
      </c>
      <c r="G71" s="9"/>
      <c r="H71" s="10" t="n">
        <v>115</v>
      </c>
      <c r="I71" s="11"/>
      <c r="J71" s="12"/>
    </row>
    <row r="72" customFormat="false" ht="15" hidden="false" customHeight="false" outlineLevel="0" collapsed="false">
      <c r="A72" s="4" t="s">
        <v>105</v>
      </c>
      <c r="B72" s="4" t="s">
        <v>36</v>
      </c>
      <c r="C72" s="5" t="n">
        <v>220</v>
      </c>
      <c r="D72" s="15" t="s">
        <v>104</v>
      </c>
      <c r="E72" s="7"/>
      <c r="F72" s="8" t="n">
        <v>46257</v>
      </c>
      <c r="G72" s="9"/>
      <c r="H72" s="10" t="n">
        <v>97</v>
      </c>
      <c r="I72" s="11"/>
      <c r="J72" s="12"/>
    </row>
    <row r="73" customFormat="false" ht="15" hidden="false" customHeight="false" outlineLevel="0" collapsed="false">
      <c r="A73" s="4" t="s">
        <v>106</v>
      </c>
      <c r="B73" s="4" t="s">
        <v>23</v>
      </c>
      <c r="C73" s="5" t="n">
        <v>31.52</v>
      </c>
      <c r="D73" s="15" t="s">
        <v>104</v>
      </c>
      <c r="E73" s="7"/>
      <c r="F73" s="8" t="n">
        <v>46041</v>
      </c>
      <c r="G73" s="9"/>
      <c r="H73" s="10" t="n">
        <v>29</v>
      </c>
      <c r="I73" s="11"/>
      <c r="J73" s="12"/>
    </row>
    <row r="74" customFormat="false" ht="15" hidden="false" customHeight="false" outlineLevel="0" collapsed="false">
      <c r="A74" s="4" t="s">
        <v>107</v>
      </c>
      <c r="B74" s="4" t="s">
        <v>108</v>
      </c>
      <c r="C74" s="5" t="n">
        <v>14</v>
      </c>
      <c r="D74" s="15" t="s">
        <v>104</v>
      </c>
      <c r="E74" s="7"/>
      <c r="F74" s="8" t="n">
        <v>46257</v>
      </c>
      <c r="G74" s="9"/>
      <c r="H74" s="10" t="n">
        <v>76</v>
      </c>
      <c r="I74" s="11"/>
      <c r="J74" s="12"/>
    </row>
    <row r="75" customFormat="false" ht="15" hidden="false" customHeight="false" outlineLevel="0" collapsed="false">
      <c r="A75" s="4" t="s">
        <v>109</v>
      </c>
      <c r="B75" s="4" t="s">
        <v>23</v>
      </c>
      <c r="C75" s="5" t="n">
        <v>39.22</v>
      </c>
      <c r="D75" s="15" t="s">
        <v>104</v>
      </c>
      <c r="E75" s="7"/>
      <c r="F75" s="8" t="n">
        <v>46233</v>
      </c>
      <c r="G75" s="9"/>
      <c r="H75" s="10" t="n">
        <v>49</v>
      </c>
      <c r="I75" s="11"/>
      <c r="J75" s="12"/>
    </row>
    <row r="76" customFormat="false" ht="15" hidden="false" customHeight="false" outlineLevel="0" collapsed="false">
      <c r="A76" s="4" t="s">
        <v>110</v>
      </c>
      <c r="B76" s="4" t="s">
        <v>23</v>
      </c>
      <c r="C76" s="5" t="n">
        <v>26.31</v>
      </c>
      <c r="D76" s="15" t="s">
        <v>104</v>
      </c>
      <c r="E76" s="7"/>
      <c r="F76" s="8" t="n">
        <v>46233</v>
      </c>
      <c r="G76" s="9"/>
      <c r="H76" s="10" t="n">
        <v>50</v>
      </c>
      <c r="I76" s="11"/>
      <c r="J76" s="12"/>
    </row>
    <row r="77" customFormat="false" ht="15" hidden="false" customHeight="false" outlineLevel="0" collapsed="false">
      <c r="A77" s="4" t="s">
        <v>111</v>
      </c>
      <c r="B77" s="4" t="s">
        <v>23</v>
      </c>
      <c r="C77" s="5" t="n">
        <v>11.82</v>
      </c>
      <c r="D77" s="15" t="s">
        <v>104</v>
      </c>
      <c r="E77" s="7"/>
      <c r="F77" s="8" t="n">
        <v>46233</v>
      </c>
      <c r="G77" s="9"/>
      <c r="H77" s="10" t="n">
        <v>23</v>
      </c>
      <c r="I77" s="11"/>
      <c r="J77" s="12"/>
    </row>
    <row r="78" customFormat="false" ht="15" hidden="false" customHeight="false" outlineLevel="0" collapsed="false">
      <c r="A78" s="4" t="s">
        <v>112</v>
      </c>
      <c r="B78" s="4" t="s">
        <v>23</v>
      </c>
      <c r="C78" s="5" t="n">
        <v>29.6</v>
      </c>
      <c r="D78" s="15" t="s">
        <v>104</v>
      </c>
      <c r="E78" s="7"/>
      <c r="F78" s="8" t="n">
        <v>46245</v>
      </c>
      <c r="G78" s="9"/>
      <c r="H78" s="10" t="n">
        <v>23</v>
      </c>
      <c r="I78" s="11"/>
      <c r="J78" s="12"/>
    </row>
    <row r="79" customFormat="false" ht="15" hidden="false" customHeight="false" outlineLevel="0" collapsed="false">
      <c r="A79" s="4" t="s">
        <v>113</v>
      </c>
      <c r="B79" s="4" t="s">
        <v>108</v>
      </c>
      <c r="C79" s="5" t="n">
        <v>16</v>
      </c>
      <c r="D79" s="15" t="s">
        <v>104</v>
      </c>
      <c r="E79" s="7"/>
      <c r="F79" s="8" t="n">
        <v>46257</v>
      </c>
      <c r="G79" s="9"/>
      <c r="H79" s="10" t="n">
        <v>54</v>
      </c>
      <c r="I79" s="11"/>
      <c r="J79" s="12"/>
    </row>
    <row r="80" customFormat="false" ht="15" hidden="false" customHeight="false" outlineLevel="0" collapsed="false">
      <c r="A80" s="4" t="s">
        <v>114</v>
      </c>
      <c r="B80" s="4" t="s">
        <v>23</v>
      </c>
      <c r="C80" s="5" t="n">
        <v>35.82</v>
      </c>
      <c r="D80" s="15" t="s">
        <v>104</v>
      </c>
      <c r="E80" s="7"/>
      <c r="F80" s="8" t="n">
        <v>45938</v>
      </c>
      <c r="G80" s="9"/>
      <c r="H80" s="10" t="n">
        <v>8</v>
      </c>
      <c r="I80" s="11"/>
      <c r="J80" s="12"/>
    </row>
    <row r="81" customFormat="false" ht="15" hidden="false" customHeight="false" outlineLevel="0" collapsed="false">
      <c r="A81" s="4" t="s">
        <v>115</v>
      </c>
      <c r="B81" s="4" t="s">
        <v>23</v>
      </c>
      <c r="C81" s="5" t="n">
        <v>0.85</v>
      </c>
      <c r="D81" s="15" t="s">
        <v>104</v>
      </c>
      <c r="E81" s="7"/>
      <c r="F81" s="8" t="n">
        <v>45938</v>
      </c>
      <c r="G81" s="9"/>
      <c r="H81" s="10" t="n">
        <v>33</v>
      </c>
      <c r="I81" s="11"/>
      <c r="J81" s="12"/>
    </row>
    <row r="82" customFormat="false" ht="15" hidden="false" customHeight="false" outlineLevel="0" collapsed="false">
      <c r="A82" s="4" t="s">
        <v>116</v>
      </c>
      <c r="B82" s="4" t="s">
        <v>23</v>
      </c>
      <c r="C82" s="5" t="n">
        <v>0.54</v>
      </c>
      <c r="D82" s="15" t="s">
        <v>104</v>
      </c>
      <c r="E82" s="7"/>
      <c r="F82" s="8" t="n">
        <v>46007</v>
      </c>
      <c r="G82" s="9"/>
      <c r="H82" s="10" t="n">
        <v>11</v>
      </c>
      <c r="I82" s="11"/>
      <c r="J82" s="12"/>
    </row>
    <row r="83" customFormat="false" ht="15" hidden="false" customHeight="false" outlineLevel="0" collapsed="false">
      <c r="A83" s="4" t="s">
        <v>117</v>
      </c>
      <c r="B83" s="4" t="s">
        <v>23</v>
      </c>
      <c r="C83" s="5" t="n">
        <v>101.06</v>
      </c>
      <c r="D83" s="15" t="s">
        <v>104</v>
      </c>
      <c r="E83" s="7"/>
      <c r="F83" s="8" t="n">
        <v>46014</v>
      </c>
      <c r="G83" s="9"/>
      <c r="H83" s="10" t="n">
        <v>44</v>
      </c>
      <c r="I83" s="11"/>
      <c r="J83" s="12"/>
    </row>
    <row r="84" customFormat="false" ht="15" hidden="false" customHeight="false" outlineLevel="0" collapsed="false">
      <c r="A84" s="4" t="s">
        <v>118</v>
      </c>
      <c r="B84" s="4" t="s">
        <v>23</v>
      </c>
      <c r="C84" s="5" t="n">
        <v>3.6</v>
      </c>
      <c r="D84" s="15" t="s">
        <v>104</v>
      </c>
      <c r="E84" s="7"/>
      <c r="F84" s="8" t="n">
        <v>46007</v>
      </c>
      <c r="G84" s="9"/>
      <c r="H84" s="10" t="n">
        <v>4</v>
      </c>
      <c r="I84" s="11"/>
      <c r="J84" s="12"/>
    </row>
    <row r="85" customFormat="false" ht="15" hidden="false" customHeight="false" outlineLevel="0" collapsed="false">
      <c r="A85" s="4" t="s">
        <v>119</v>
      </c>
      <c r="B85" s="4" t="s">
        <v>23</v>
      </c>
      <c r="C85" s="5" t="n">
        <v>447.81</v>
      </c>
      <c r="D85" s="15" t="s">
        <v>104</v>
      </c>
      <c r="E85" s="7"/>
      <c r="F85" s="8" t="n">
        <v>46245</v>
      </c>
      <c r="G85" s="9"/>
      <c r="H85" s="10" t="n">
        <v>6</v>
      </c>
      <c r="I85" s="11"/>
      <c r="J85" s="12"/>
    </row>
    <row r="86" customFormat="false" ht="15" hidden="false" customHeight="false" outlineLevel="0" collapsed="false">
      <c r="A86" s="4" t="s">
        <v>120</v>
      </c>
      <c r="B86" s="4" t="s">
        <v>23</v>
      </c>
      <c r="C86" s="5" t="n">
        <v>1.89</v>
      </c>
      <c r="D86" s="15" t="s">
        <v>104</v>
      </c>
      <c r="E86" s="7"/>
      <c r="F86" s="8" t="n">
        <v>46007</v>
      </c>
      <c r="G86" s="9"/>
      <c r="H86" s="10" t="n">
        <v>18</v>
      </c>
      <c r="I86" s="11"/>
      <c r="J86" s="12"/>
    </row>
    <row r="87" customFormat="false" ht="15" hidden="false" customHeight="false" outlineLevel="0" collapsed="false">
      <c r="A87" s="4" t="s">
        <v>121</v>
      </c>
      <c r="B87" s="4" t="s">
        <v>23</v>
      </c>
      <c r="C87" s="5" t="n">
        <v>4.23</v>
      </c>
      <c r="D87" s="15" t="s">
        <v>104</v>
      </c>
      <c r="E87" s="7"/>
      <c r="F87" s="8" t="n">
        <v>46007</v>
      </c>
      <c r="G87" s="9"/>
      <c r="H87" s="10" t="n">
        <v>5</v>
      </c>
      <c r="I87" s="11"/>
      <c r="J87" s="12"/>
    </row>
    <row r="88" customFormat="false" ht="15" hidden="false" customHeight="false" outlineLevel="0" collapsed="false">
      <c r="A88" s="4" t="s">
        <v>122</v>
      </c>
      <c r="B88" s="4" t="s">
        <v>23</v>
      </c>
      <c r="C88" s="5" t="n">
        <v>50.85</v>
      </c>
      <c r="D88" s="15" t="s">
        <v>104</v>
      </c>
      <c r="E88" s="7"/>
      <c r="F88" s="8" t="n">
        <v>46245</v>
      </c>
      <c r="G88" s="9"/>
      <c r="H88" s="10" t="n">
        <v>9</v>
      </c>
      <c r="I88" s="11"/>
      <c r="J88" s="12"/>
    </row>
    <row r="89" customFormat="false" ht="15" hidden="false" customHeight="false" outlineLevel="0" collapsed="false">
      <c r="A89" s="4" t="s">
        <v>123</v>
      </c>
      <c r="B89" s="4" t="s">
        <v>23</v>
      </c>
      <c r="C89" s="5" t="n">
        <v>462.74</v>
      </c>
      <c r="D89" s="15" t="s">
        <v>104</v>
      </c>
      <c r="E89" s="7"/>
      <c r="F89" s="8" t="n">
        <v>46245</v>
      </c>
      <c r="G89" s="9"/>
      <c r="H89" s="10" t="n">
        <v>10</v>
      </c>
      <c r="I89" s="11"/>
      <c r="J89" s="12"/>
    </row>
    <row r="90" customFormat="false" ht="15" hidden="false" customHeight="false" outlineLevel="0" collapsed="false">
      <c r="A90" s="4" t="s">
        <v>124</v>
      </c>
      <c r="B90" s="4" t="s">
        <v>23</v>
      </c>
      <c r="C90" s="5" t="n">
        <v>340.65</v>
      </c>
      <c r="D90" s="15" t="s">
        <v>104</v>
      </c>
      <c r="E90" s="7"/>
      <c r="F90" s="8" t="n">
        <v>45973</v>
      </c>
      <c r="G90" s="9"/>
      <c r="H90" s="10" t="n">
        <v>28</v>
      </c>
      <c r="I90" s="11"/>
      <c r="J90" s="12"/>
    </row>
    <row r="91" customFormat="false" ht="15" hidden="false" customHeight="false" outlineLevel="0" collapsed="false">
      <c r="A91" s="4" t="s">
        <v>125</v>
      </c>
      <c r="B91" s="4" t="s">
        <v>23</v>
      </c>
      <c r="C91" s="5" t="n">
        <v>47.9</v>
      </c>
      <c r="D91" s="15" t="s">
        <v>104</v>
      </c>
      <c r="E91" s="7"/>
      <c r="F91" s="8" t="n">
        <v>45944</v>
      </c>
      <c r="G91" s="9"/>
      <c r="H91" s="10" t="n">
        <v>36</v>
      </c>
      <c r="I91" s="11"/>
      <c r="J91" s="12"/>
    </row>
    <row r="92" customFormat="false" ht="15" hidden="false" customHeight="false" outlineLevel="0" collapsed="false">
      <c r="A92" s="4" t="s">
        <v>126</v>
      </c>
      <c r="B92" s="4" t="s">
        <v>23</v>
      </c>
      <c r="C92" s="5" t="n">
        <v>200</v>
      </c>
      <c r="D92" s="15" t="s">
        <v>104</v>
      </c>
      <c r="E92" s="7"/>
      <c r="F92" s="8" t="n">
        <v>46257</v>
      </c>
      <c r="G92" s="9"/>
      <c r="H92" s="10" t="n">
        <v>14</v>
      </c>
      <c r="I92" s="11"/>
      <c r="J92" s="12"/>
    </row>
    <row r="93" customFormat="false" ht="15" hidden="false" customHeight="false" outlineLevel="0" collapsed="false">
      <c r="A93" s="4" t="s">
        <v>127</v>
      </c>
      <c r="B93" s="4" t="s">
        <v>23</v>
      </c>
      <c r="C93" s="5" t="n">
        <v>11.88</v>
      </c>
      <c r="D93" s="15" t="s">
        <v>104</v>
      </c>
      <c r="E93" s="7"/>
      <c r="F93" s="8" t="n">
        <v>46245</v>
      </c>
      <c r="G93" s="9"/>
      <c r="H93" s="10" t="n">
        <v>21</v>
      </c>
      <c r="I93" s="11"/>
      <c r="J93" s="12"/>
    </row>
    <row r="94" customFormat="false" ht="15" hidden="false" customHeight="false" outlineLevel="0" collapsed="false">
      <c r="A94" s="4" t="s">
        <v>128</v>
      </c>
      <c r="B94" s="4" t="s">
        <v>23</v>
      </c>
      <c r="C94" s="5" t="n">
        <v>69.95</v>
      </c>
      <c r="D94" s="15" t="s">
        <v>104</v>
      </c>
      <c r="E94" s="7"/>
      <c r="F94" s="8" t="n">
        <v>45922</v>
      </c>
      <c r="G94" s="9"/>
      <c r="H94" s="10" t="n">
        <v>23</v>
      </c>
      <c r="I94" s="11"/>
      <c r="J94" s="12"/>
    </row>
    <row r="95" customFormat="false" ht="15" hidden="false" customHeight="false" outlineLevel="0" collapsed="false">
      <c r="A95" s="4" t="s">
        <v>129</v>
      </c>
      <c r="B95" s="4" t="s">
        <v>36</v>
      </c>
      <c r="C95" s="5" t="n">
        <v>135</v>
      </c>
      <c r="D95" s="15" t="s">
        <v>104</v>
      </c>
      <c r="E95" s="7"/>
      <c r="F95" s="8" t="n">
        <v>46257</v>
      </c>
      <c r="G95" s="9"/>
      <c r="H95" s="10" t="n">
        <v>58</v>
      </c>
      <c r="I95" s="11"/>
      <c r="J95" s="12"/>
    </row>
    <row r="96" customFormat="false" ht="15" hidden="false" customHeight="false" outlineLevel="0" collapsed="false">
      <c r="A96" s="4" t="s">
        <v>130</v>
      </c>
      <c r="B96" s="4" t="s">
        <v>23</v>
      </c>
      <c r="C96" s="5" t="n">
        <v>36.68</v>
      </c>
      <c r="D96" s="15" t="s">
        <v>104</v>
      </c>
      <c r="E96" s="7"/>
      <c r="F96" s="8" t="n">
        <v>45922</v>
      </c>
      <c r="G96" s="9"/>
      <c r="H96" s="10" t="n">
        <v>1</v>
      </c>
      <c r="I96" s="11"/>
      <c r="J96" s="12"/>
    </row>
    <row r="97" customFormat="false" ht="15" hidden="false" customHeight="false" outlineLevel="0" collapsed="false">
      <c r="A97" s="4" t="s">
        <v>131</v>
      </c>
      <c r="B97" s="4" t="s">
        <v>23</v>
      </c>
      <c r="C97" s="5" t="n">
        <v>38</v>
      </c>
      <c r="D97" s="15" t="s">
        <v>104</v>
      </c>
      <c r="E97" s="7"/>
      <c r="F97" s="8" t="n">
        <v>46257</v>
      </c>
      <c r="G97" s="9"/>
      <c r="H97" s="10" t="n">
        <v>253</v>
      </c>
      <c r="I97" s="11"/>
      <c r="J97" s="12"/>
    </row>
    <row r="98" customFormat="false" ht="15" hidden="false" customHeight="false" outlineLevel="0" collapsed="false">
      <c r="A98" s="4" t="s">
        <v>132</v>
      </c>
      <c r="B98" s="4" t="s">
        <v>20</v>
      </c>
      <c r="C98" s="5" t="n">
        <v>83.82</v>
      </c>
      <c r="D98" s="15" t="s">
        <v>104</v>
      </c>
      <c r="E98" s="7"/>
      <c r="F98" s="8" t="n">
        <v>45923</v>
      </c>
      <c r="G98" s="9"/>
      <c r="H98" s="10" t="n">
        <v>2</v>
      </c>
      <c r="I98" s="11" t="s">
        <v>133</v>
      </c>
      <c r="J98" s="12"/>
    </row>
    <row r="99" customFormat="false" ht="15" hidden="false" customHeight="false" outlineLevel="0" collapsed="false">
      <c r="A99" s="4" t="s">
        <v>134</v>
      </c>
      <c r="B99" s="4" t="s">
        <v>20</v>
      </c>
      <c r="C99" s="5" t="n">
        <v>50</v>
      </c>
      <c r="D99" s="15" t="s">
        <v>104</v>
      </c>
      <c r="E99" s="7"/>
      <c r="F99" s="8" t="n">
        <v>46044</v>
      </c>
      <c r="G99" s="9"/>
      <c r="H99" s="10" t="n">
        <v>40</v>
      </c>
      <c r="I99" s="11"/>
      <c r="J99" s="12"/>
    </row>
    <row r="101" customFormat="false" ht="15" hidden="false" customHeight="false" outlineLevel="0" collapsed="false">
      <c r="A101" s="16" t="s">
        <v>135</v>
      </c>
      <c r="J101" s="17" t="n">
        <v>42.5</v>
      </c>
    </row>
  </sheetData>
  <autoFilter ref="A5:J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7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6.1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3" customFormat="false" ht="15" hidden="false" customHeight="false" outlineLevel="0" collapsed="false">
      <c r="A3" s="2" t="s">
        <v>138</v>
      </c>
    </row>
    <row r="5" customFormat="false" ht="30" hidden="false" customHeight="true" outlineLevel="0" collapsed="false">
      <c r="A5" s="3" t="s">
        <v>139</v>
      </c>
      <c r="B5" s="3" t="s">
        <v>140</v>
      </c>
      <c r="C5" s="3" t="s">
        <v>141</v>
      </c>
      <c r="D5" s="3" t="s">
        <v>142</v>
      </c>
      <c r="E5" s="3" t="s">
        <v>143</v>
      </c>
      <c r="F5" s="3" t="s">
        <v>144</v>
      </c>
      <c r="G5" s="3" t="s">
        <v>145</v>
      </c>
    </row>
    <row r="6" customFormat="false" ht="15" hidden="false" customHeight="false" outlineLevel="0" collapsed="false">
      <c r="A6" s="4" t="s">
        <v>146</v>
      </c>
      <c r="B6" s="4" t="s">
        <v>147</v>
      </c>
      <c r="C6" s="7"/>
      <c r="D6" s="7" t="n">
        <v>25</v>
      </c>
      <c r="E6" s="18" t="str">
        <f aca="false">IF(OR(C6="",D6=""),"",D6/C6-1)</f>
        <v/>
      </c>
      <c r="F6" s="19" t="n">
        <f aca="false">IF(AND(C6="",D6=""),"",IF(D6&lt;&gt;"",D6,C6))</f>
        <v>25</v>
      </c>
      <c r="G6" s="12"/>
    </row>
    <row r="7" customFormat="false" ht="15" hidden="false" customHeight="false" outlineLevel="0" collapsed="false">
      <c r="A7" s="4" t="s">
        <v>148</v>
      </c>
      <c r="B7" s="4" t="s">
        <v>147</v>
      </c>
      <c r="C7" s="7" t="n">
        <v>80</v>
      </c>
      <c r="D7" s="7" t="n">
        <v>38</v>
      </c>
      <c r="E7" s="18" t="n">
        <f aca="false">IF(OR(C7="",D7=""),"",D7/C7-1)</f>
        <v>-0.525</v>
      </c>
      <c r="F7" s="19" t="n">
        <f aca="false">IF(AND(C7="",D7=""),"",IF(D7&lt;&gt;"",D7,C7))</f>
        <v>38</v>
      </c>
      <c r="G7" s="12"/>
    </row>
    <row r="8" customFormat="false" ht="15" hidden="false" customHeight="false" outlineLevel="0" collapsed="false">
      <c r="A8" s="4" t="s">
        <v>149</v>
      </c>
      <c r="B8" s="4" t="s">
        <v>147</v>
      </c>
      <c r="C8" s="7" t="n">
        <v>60</v>
      </c>
      <c r="D8" s="7"/>
      <c r="E8" s="18" t="str">
        <f aca="false">IF(OR(C8="",D8=""),"",D8/C8-1)</f>
        <v/>
      </c>
      <c r="F8" s="19" t="n">
        <f aca="false">IF(AND(C8="",D8=""),"",IF(D8&lt;&gt;"",D8,C8))</f>
        <v>60</v>
      </c>
      <c r="G8" s="12"/>
    </row>
    <row r="9" customFormat="false" ht="15" hidden="false" customHeight="false" outlineLevel="0" collapsed="false">
      <c r="A9" s="4" t="s">
        <v>150</v>
      </c>
      <c r="B9" s="4" t="s">
        <v>151</v>
      </c>
      <c r="C9" s="7"/>
      <c r="D9" s="7"/>
      <c r="E9" s="18" t="str">
        <f aca="false">IF(OR(C9="",D9=""),"",D9/C9-1)</f>
        <v/>
      </c>
      <c r="F9" s="19" t="str">
        <f aca="false">IF(AND(C9="",D9=""),"",IF(D9&lt;&gt;"",D9,C9))</f>
        <v/>
      </c>
      <c r="G9" s="12"/>
    </row>
    <row r="10" customFormat="false" ht="15" hidden="false" customHeight="false" outlineLevel="0" collapsed="false">
      <c r="A10" s="4" t="s">
        <v>152</v>
      </c>
      <c r="B10" s="4" t="s">
        <v>147</v>
      </c>
      <c r="C10" s="7"/>
      <c r="D10" s="7" t="n">
        <v>25</v>
      </c>
      <c r="E10" s="18" t="str">
        <f aca="false">IF(OR(C10="",D10=""),"",D10/C10-1)</f>
        <v/>
      </c>
      <c r="F10" s="19" t="n">
        <f aca="false">IF(AND(C10="",D10=""),"",IF(D10&lt;&gt;"",D10,C10))</f>
        <v>25</v>
      </c>
      <c r="G10" s="12"/>
    </row>
    <row r="11" customFormat="false" ht="15" hidden="false" customHeight="false" outlineLevel="0" collapsed="false">
      <c r="A11" s="4" t="s">
        <v>153</v>
      </c>
      <c r="B11" s="4" t="s">
        <v>154</v>
      </c>
      <c r="C11" s="7"/>
      <c r="D11" s="7" t="n">
        <v>1000</v>
      </c>
      <c r="E11" s="18" t="str">
        <f aca="false">IF(OR(C11="",D11=""),"",D11/C11-1)</f>
        <v/>
      </c>
      <c r="F11" s="19" t="n">
        <f aca="false">IF(AND(C11="",D11=""),"",IF(D11&lt;&gt;"",D11,C11))</f>
        <v>1000</v>
      </c>
      <c r="G11" s="12"/>
    </row>
    <row r="12" customFormat="false" ht="15" hidden="false" customHeight="false" outlineLevel="0" collapsed="false">
      <c r="A12" s="4" t="s">
        <v>155</v>
      </c>
      <c r="B12" s="4" t="s">
        <v>156</v>
      </c>
      <c r="C12" s="7" t="n">
        <v>2000</v>
      </c>
      <c r="D12" s="7"/>
      <c r="E12" s="18" t="str">
        <f aca="false">IF(OR(C12="",D12=""),"",D12/C12-1)</f>
        <v/>
      </c>
      <c r="F12" s="19" t="n">
        <f aca="false">IF(AND(C12="",D12=""),"",IF(D12&lt;&gt;"",D12,C12))</f>
        <v>2000</v>
      </c>
      <c r="G12" s="12"/>
    </row>
    <row r="13" customFormat="false" ht="15" hidden="false" customHeight="false" outlineLevel="0" collapsed="false">
      <c r="A13" s="4" t="s">
        <v>157</v>
      </c>
      <c r="B13" s="4" t="s">
        <v>156</v>
      </c>
      <c r="C13" s="7" t="n">
        <v>5000</v>
      </c>
      <c r="D13" s="7"/>
      <c r="E13" s="18" t="str">
        <f aca="false">IF(OR(C13="",D13=""),"",D13/C13-1)</f>
        <v/>
      </c>
      <c r="F13" s="19" t="n">
        <f aca="false">IF(AND(C13="",D13=""),"",IF(D13&lt;&gt;"",D13,C13))</f>
        <v>5000</v>
      </c>
      <c r="G13" s="12"/>
    </row>
    <row r="14" customFormat="false" ht="15" hidden="false" customHeight="false" outlineLevel="0" collapsed="false">
      <c r="A14" s="4" t="s">
        <v>158</v>
      </c>
      <c r="B14" s="4" t="s">
        <v>147</v>
      </c>
      <c r="C14" s="7"/>
      <c r="D14" s="7" t="n">
        <v>150</v>
      </c>
      <c r="E14" s="18" t="str">
        <f aca="false">IF(OR(C14="",D14=""),"",D14/C14-1)</f>
        <v/>
      </c>
      <c r="F14" s="19" t="n">
        <f aca="false">IF(AND(C14="",D14=""),"",IF(D14&lt;&gt;"",D14,C14))</f>
        <v>150</v>
      </c>
      <c r="G14" s="12"/>
    </row>
    <row r="15" customFormat="false" ht="15" hidden="false" customHeight="false" outlineLevel="0" collapsed="false">
      <c r="A15" s="4" t="s">
        <v>159</v>
      </c>
      <c r="B15" s="4" t="s">
        <v>147</v>
      </c>
      <c r="C15" s="7" t="n">
        <v>1000</v>
      </c>
      <c r="D15" s="7"/>
      <c r="E15" s="18" t="str">
        <f aca="false">IF(OR(C15="",D15=""),"",D15/C15-1)</f>
        <v/>
      </c>
      <c r="F15" s="19" t="n">
        <f aca="false">IF(AND(C15="",D15=""),"",IF(D15&lt;&gt;"",D15,C15))</f>
        <v>1000</v>
      </c>
      <c r="G15" s="12"/>
    </row>
    <row r="16" customFormat="false" ht="15" hidden="false" customHeight="false" outlineLevel="0" collapsed="false">
      <c r="A16" s="4" t="s">
        <v>160</v>
      </c>
      <c r="B16" s="4" t="s">
        <v>161</v>
      </c>
      <c r="C16" s="7" t="n">
        <v>250</v>
      </c>
      <c r="D16" s="7"/>
      <c r="E16" s="18" t="str">
        <f aca="false">IF(OR(C16="",D16=""),"",D16/C16-1)</f>
        <v/>
      </c>
      <c r="F16" s="19" t="n">
        <f aca="false">IF(AND(C16="",D16=""),"",IF(D16&lt;&gt;"",D16,C16))</f>
        <v>250</v>
      </c>
      <c r="G16" s="12"/>
    </row>
    <row r="17" customFormat="false" ht="15" hidden="false" customHeight="false" outlineLevel="0" collapsed="false">
      <c r="A17" s="4" t="s">
        <v>162</v>
      </c>
      <c r="B17" s="4" t="s">
        <v>161</v>
      </c>
      <c r="C17" s="7" t="n">
        <v>130</v>
      </c>
      <c r="D17" s="7" t="n">
        <v>59</v>
      </c>
      <c r="E17" s="18" t="n">
        <f aca="false">IF(OR(C17="",D17=""),"",D17/C17-1)</f>
        <v>-0.546153846153846</v>
      </c>
      <c r="F17" s="19" t="n">
        <f aca="false">IF(AND(C17="",D17=""),"",IF(D17&lt;&gt;"",D17,C17))</f>
        <v>59</v>
      </c>
      <c r="G17" s="12"/>
    </row>
    <row r="18" customFormat="false" ht="15" hidden="false" customHeight="false" outlineLevel="0" collapsed="false">
      <c r="A18" s="4" t="s">
        <v>163</v>
      </c>
      <c r="B18" s="4" t="s">
        <v>164</v>
      </c>
      <c r="C18" s="7" t="n">
        <v>120</v>
      </c>
      <c r="D18" s="7" t="n">
        <v>59</v>
      </c>
      <c r="E18" s="18" t="n">
        <f aca="false">IF(OR(C18="",D18=""),"",D18/C18-1)</f>
        <v>-0.508333333333333</v>
      </c>
      <c r="F18" s="19" t="n">
        <f aca="false">IF(AND(C18="",D18=""),"",IF(D18&lt;&gt;"",D18,C18))</f>
        <v>59</v>
      </c>
      <c r="G18" s="12"/>
    </row>
    <row r="19" customFormat="false" ht="15" hidden="false" customHeight="false" outlineLevel="0" collapsed="false">
      <c r="A19" s="4" t="s">
        <v>165</v>
      </c>
      <c r="B19" s="4" t="s">
        <v>166</v>
      </c>
      <c r="C19" s="7" t="n">
        <v>1000</v>
      </c>
      <c r="D19" s="7" t="n">
        <v>880</v>
      </c>
      <c r="E19" s="18" t="n">
        <f aca="false">IF(OR(C19="",D19=""),"",D19/C19-1)</f>
        <v>-0.12</v>
      </c>
      <c r="F19" s="19" t="n">
        <f aca="false">IF(AND(C19="",D19=""),"",IF(D19&lt;&gt;"",D19,C19))</f>
        <v>880</v>
      </c>
      <c r="G19" s="12"/>
    </row>
    <row r="20" customFormat="false" ht="15" hidden="false" customHeight="false" outlineLevel="0" collapsed="false">
      <c r="A20" s="4" t="s">
        <v>167</v>
      </c>
      <c r="B20" s="4" t="s">
        <v>147</v>
      </c>
      <c r="C20" s="7" t="n">
        <v>100</v>
      </c>
      <c r="D20" s="7" t="n">
        <v>115</v>
      </c>
      <c r="E20" s="18" t="n">
        <f aca="false">IF(OR(C20="",D20=""),"",D20/C20-1)</f>
        <v>0.15</v>
      </c>
      <c r="F20" s="19" t="n">
        <f aca="false">IF(AND(C20="",D20=""),"",IF(D20&lt;&gt;"",D20,C20))</f>
        <v>115</v>
      </c>
      <c r="G20" s="12"/>
    </row>
    <row r="21" customFormat="false" ht="15" hidden="false" customHeight="false" outlineLevel="0" collapsed="false">
      <c r="A21" s="4" t="s">
        <v>168</v>
      </c>
      <c r="B21" s="4" t="s">
        <v>147</v>
      </c>
      <c r="C21" s="7"/>
      <c r="D21" s="7"/>
      <c r="E21" s="18" t="str">
        <f aca="false">IF(OR(C21="",D21=""),"",D21/C21-1)</f>
        <v/>
      </c>
      <c r="F21" s="19" t="str">
        <f aca="false">IF(AND(C21="",D21=""),"",IF(D21&lt;&gt;"",D21,C21))</f>
        <v/>
      </c>
      <c r="G21" s="12"/>
    </row>
    <row r="22" customFormat="false" ht="15" hidden="false" customHeight="false" outlineLevel="0" collapsed="false">
      <c r="A22" s="4" t="s">
        <v>169</v>
      </c>
      <c r="B22" s="4" t="s">
        <v>156</v>
      </c>
      <c r="C22" s="7" t="n">
        <v>8000</v>
      </c>
      <c r="D22" s="7"/>
      <c r="E22" s="18" t="str">
        <f aca="false">IF(OR(C22="",D22=""),"",D22/C22-1)</f>
        <v/>
      </c>
      <c r="F22" s="19" t="n">
        <f aca="false">IF(AND(C22="",D22=""),"",IF(D22&lt;&gt;"",D22,C22))</f>
        <v>8000</v>
      </c>
      <c r="G22" s="12"/>
    </row>
    <row r="24" customFormat="false" ht="15" hidden="false" customHeight="false" outlineLevel="0" collapsed="false">
      <c r="A24" s="16" t="s">
        <v>170</v>
      </c>
    </row>
    <row r="25" customFormat="false" ht="15" hidden="false" customHeight="false" outlineLevel="0" collapsed="false">
      <c r="A25" s="20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8"/>
  </cols>
  <sheetData>
    <row r="1" customFormat="false" ht="16.15" hidden="false" customHeight="false" outlineLevel="0" collapsed="false">
      <c r="A1" s="1" t="s">
        <v>172</v>
      </c>
    </row>
    <row r="3" customFormat="false" ht="30" hidden="false" customHeight="true" outlineLevel="0" collapsed="false">
      <c r="A3" s="21" t="s">
        <v>173</v>
      </c>
      <c r="B3" s="22" t="s">
        <v>174</v>
      </c>
    </row>
    <row r="4" customFormat="false" ht="15" hidden="false" customHeight="false" outlineLevel="0" collapsed="false">
      <c r="A4" s="21" t="s">
        <v>175</v>
      </c>
      <c r="B4" s="22" t="s">
        <v>176</v>
      </c>
    </row>
    <row r="5" customFormat="false" ht="15" hidden="false" customHeight="false" outlineLevel="0" collapsed="false">
      <c r="A5" s="21" t="s">
        <v>177</v>
      </c>
      <c r="B5" s="22" t="s">
        <v>178</v>
      </c>
    </row>
    <row r="6" customFormat="false" ht="15" hidden="false" customHeight="false" outlineLevel="0" collapsed="false">
      <c r="A6" s="21" t="s">
        <v>179</v>
      </c>
      <c r="B6" s="22" t="s">
        <v>180</v>
      </c>
    </row>
    <row r="7" customFormat="false" ht="15" hidden="false" customHeight="false" outlineLevel="0" collapsed="false">
      <c r="A7" s="21" t="s">
        <v>181</v>
      </c>
      <c r="B7" s="22" t="s">
        <v>182</v>
      </c>
    </row>
    <row r="8" customFormat="false" ht="15" hidden="false" customHeight="false" outlineLevel="0" collapsed="false">
      <c r="A8" s="23"/>
      <c r="B8" s="22"/>
    </row>
    <row r="9" customFormat="false" ht="30" hidden="false" customHeight="true" outlineLevel="0" collapsed="false">
      <c r="A9" s="21" t="s">
        <v>183</v>
      </c>
      <c r="B9" s="22" t="s">
        <v>184</v>
      </c>
    </row>
    <row r="10" customFormat="false" ht="15" hidden="false" customHeight="false" outlineLevel="0" collapsed="false">
      <c r="A10" s="21" t="s">
        <v>185</v>
      </c>
      <c r="B10" s="22" t="s">
        <v>186</v>
      </c>
    </row>
    <row r="11" customFormat="false" ht="15" hidden="false" customHeight="false" outlineLevel="0" collapsed="false">
      <c r="A11" s="23"/>
      <c r="B11" s="22"/>
    </row>
    <row r="12" customFormat="false" ht="30" hidden="false" customHeight="true" outlineLevel="0" collapsed="false">
      <c r="A12" s="21" t="s">
        <v>187</v>
      </c>
      <c r="B12" s="22" t="s">
        <v>188</v>
      </c>
    </row>
    <row r="13" customFormat="false" ht="15" hidden="false" customHeight="false" outlineLevel="0" collapsed="false">
      <c r="A13" s="21" t="s">
        <v>189</v>
      </c>
      <c r="B13" s="22" t="s">
        <v>190</v>
      </c>
    </row>
    <row r="14" customFormat="false" ht="15" hidden="false" customHeight="false" outlineLevel="0" collapsed="false">
      <c r="A14" s="21" t="s">
        <v>191</v>
      </c>
      <c r="B14" s="22" t="s">
        <v>192</v>
      </c>
    </row>
    <row r="15" customFormat="false" ht="15" hidden="false" customHeight="false" outlineLevel="0" collapsed="false">
      <c r="A15" s="21" t="s">
        <v>193</v>
      </c>
      <c r="B15" s="22" t="s">
        <v>194</v>
      </c>
    </row>
    <row r="16" customFormat="false" ht="15" hidden="false" customHeight="false" outlineLevel="0" collapsed="false">
      <c r="A16" s="23"/>
      <c r="B16" s="22"/>
    </row>
    <row r="17" customFormat="false" ht="30" hidden="false" customHeight="true" outlineLevel="0" collapsed="false">
      <c r="A17" s="21" t="s">
        <v>195</v>
      </c>
      <c r="B17" s="22" t="s">
        <v>196</v>
      </c>
    </row>
    <row r="18" customFormat="false" ht="30" hidden="false" customHeight="true" outlineLevel="0" collapsed="false">
      <c r="A18" s="21" t="s">
        <v>197</v>
      </c>
      <c r="B18" s="22" t="s">
        <v>198</v>
      </c>
    </row>
    <row r="19" customFormat="false" ht="30" hidden="false" customHeight="true" outlineLevel="0" collapsed="false">
      <c r="A19" s="21" t="s">
        <v>199</v>
      </c>
      <c r="B19" s="22" t="s">
        <v>200</v>
      </c>
    </row>
    <row r="20" customFormat="false" ht="15" hidden="false" customHeight="false" outlineLevel="0" collapsed="false">
      <c r="A20" s="23"/>
      <c r="B20" s="22"/>
    </row>
    <row r="21" customFormat="false" ht="30" hidden="false" customHeight="true" outlineLevel="0" collapsed="false">
      <c r="A21" s="21" t="s">
        <v>201</v>
      </c>
      <c r="B21" s="22" t="s">
        <v>202</v>
      </c>
    </row>
    <row r="22" customFormat="false" ht="30" hidden="false" customHeight="true" outlineLevel="0" collapsed="false">
      <c r="A22" s="21" t="s">
        <v>203</v>
      </c>
      <c r="B22" s="22" t="s">
        <v>204</v>
      </c>
    </row>
    <row r="23" customFormat="false" ht="15" hidden="false" customHeight="false" outlineLevel="0" collapsed="false">
      <c r="A23" s="21" t="s">
        <v>205</v>
      </c>
      <c r="B23" s="22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2026-09-05T20:57:32Z</dcterms:created>
  <dc:creator>openpyxl</dc:creator>
  <dc:description/>
  <dc:language>en-US</dc:language>
  <cp:lastModifiedBy/>
  <dcterms:modified xsi:type="dcterms:W3CDTF">2026-09-05T20:57:33Z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